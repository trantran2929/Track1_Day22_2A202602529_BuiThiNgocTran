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C236049-EBA3-473D-B6F1-79EC781906F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0_README" sheetId="1" r:id="rId1"/>
    <sheet name="1_Cost_Job" sheetId="2" r:id="rId2"/>
    <sheet name="2_Pricing" sheetId="3" r:id="rId3"/>
    <sheet name="3_Value_Metric" sheetId="4" r:id="rId4"/>
    <sheet name="4_Channel_Fit" sheetId="5" r:id="rId5"/>
    <sheet name="5_90Day_Plan" sheetId="6" r:id="rId6"/>
    <sheet name="6_Benchmarks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5" i="5" l="1"/>
  <c r="D34" i="5"/>
  <c r="C34" i="5"/>
  <c r="B34" i="5"/>
  <c r="B22" i="5"/>
  <c r="H12" i="5"/>
  <c r="H9" i="5"/>
  <c r="B8" i="5"/>
  <c r="B18" i="4"/>
  <c r="B10" i="4"/>
  <c r="B21" i="4" s="1"/>
  <c r="D44" i="3"/>
  <c r="D43" i="3"/>
  <c r="D42" i="3"/>
  <c r="D41" i="3"/>
  <c r="D40" i="3"/>
  <c r="D39" i="3"/>
  <c r="B34" i="3"/>
  <c r="B31" i="3"/>
  <c r="B30" i="3"/>
  <c r="H13" i="3"/>
  <c r="B77" i="2"/>
  <c r="B64" i="2"/>
  <c r="B55" i="2"/>
  <c r="B54" i="2"/>
  <c r="B56" i="2" s="1"/>
  <c r="B43" i="2"/>
  <c r="B74" i="2" s="1"/>
  <c r="B38" i="2"/>
  <c r="B73" i="2" s="1"/>
  <c r="B26" i="2"/>
  <c r="B28" i="2" s="1"/>
  <c r="B25" i="2"/>
  <c r="B24" i="2"/>
  <c r="B23" i="2"/>
  <c r="B27" i="2" s="1"/>
  <c r="B31" i="2" s="1"/>
  <c r="B11" i="2"/>
  <c r="B76" i="2" l="1"/>
  <c r="B63" i="2"/>
  <c r="B47" i="2"/>
  <c r="B75" i="2" s="1"/>
  <c r="B72" i="2"/>
  <c r="B62" i="2"/>
  <c r="B29" i="2"/>
  <c r="B12" i="2"/>
  <c r="H7" i="3"/>
  <c r="B11" i="3"/>
  <c r="H8" i="3" l="1"/>
  <c r="C76" i="2"/>
  <c r="C73" i="2"/>
  <c r="C72" i="2"/>
  <c r="C77" i="2"/>
  <c r="C75" i="2"/>
  <c r="C74" i="2"/>
  <c r="B13" i="3"/>
  <c r="B12" i="3"/>
  <c r="B16" i="3"/>
  <c r="B15" i="3"/>
  <c r="B65" i="2"/>
  <c r="B67" i="2" s="1"/>
  <c r="H9" i="3"/>
  <c r="B29" i="3"/>
  <c r="B66" i="2"/>
  <c r="B69" i="2" l="1"/>
  <c r="B5" i="3"/>
  <c r="B39" i="3"/>
  <c r="B41" i="3"/>
  <c r="B40" i="3"/>
  <c r="B33" i="3"/>
  <c r="B42" i="3"/>
  <c r="H15" i="3"/>
  <c r="B44" i="3"/>
  <c r="B43" i="3"/>
  <c r="H16" i="3"/>
  <c r="H14" i="3"/>
  <c r="H19" i="3"/>
  <c r="H11" i="3"/>
  <c r="B5" i="5" s="1"/>
  <c r="H18" i="3"/>
  <c r="H10" i="3"/>
  <c r="H12" i="3"/>
  <c r="B19" i="3" s="1"/>
  <c r="B51" i="3" l="1"/>
  <c r="B35" i="3"/>
  <c r="B53" i="3"/>
  <c r="B21" i="3"/>
  <c r="H17" i="3"/>
  <c r="B10" i="5"/>
  <c r="B15" i="5" s="1"/>
  <c r="B16" i="5" s="1"/>
  <c r="B17" i="5" s="1"/>
  <c r="B49" i="3"/>
  <c r="B20" i="3"/>
  <c r="B22" i="3" s="1"/>
  <c r="B7" i="3"/>
  <c r="B50" i="3" s="1"/>
  <c r="B52" i="3" l="1"/>
  <c r="B24" i="3"/>
  <c r="B23" i="3"/>
  <c r="B6" i="5"/>
  <c r="B9" i="5" s="1"/>
  <c r="B25" i="3"/>
  <c r="H13" i="5" l="1"/>
  <c r="B23" i="5"/>
  <c r="B24" i="5" s="1"/>
  <c r="H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" authorId="0" shapeId="0" xr:uid="{00000000-0006-0000-0100-000001000000}">
      <text>
        <r>
          <rPr>
            <sz val="11"/>
            <color theme="1"/>
            <rFont val="Calibri"/>
          </rPr>
          <t>======
ID#AAACIQEOV6c
Unknown Author    (2026-10-08 02:20:56)
Ví dụ mẫu đang điền sẵn — thay bằng sản phẩm của bạn.</t>
        </r>
      </text>
    </comment>
  </commentList>
</comments>
</file>

<file path=xl/sharedStrings.xml><?xml version="1.0" encoding="utf-8"?>
<sst xmlns="http://schemas.openxmlformats.org/spreadsheetml/2006/main" count="609" uniqueCount="523">
  <si>
    <t>DAY 22 — MONETIZATION MODEL</t>
  </si>
  <si>
    <t>AI Pricing · GTM · Evidence — AI-IN-ACTION Track 1</t>
  </si>
  <si>
    <t>QUY ƯỚC MÀU — CHỈ ĐIỀN VÀO Ô MÀU VÀNG</t>
  </si>
  <si>
    <t>Ô VÀNG, chữ xanh dương</t>
  </si>
  <si>
    <t>Ô bạn phải điền</t>
  </si>
  <si>
    <t>Ô XÁM, chữ đen</t>
  </si>
  <si>
    <t>Công thức tự tính — KHÔNG SỬA</t>
  </si>
  <si>
    <t>Chữ xanh lá</t>
  </si>
  <si>
    <t>Link sang tab khác</t>
  </si>
  <si>
    <t>Ô XÁM đậm nhạt</t>
  </si>
  <si>
    <t>Bảng tham chiếu, chỉ đọc</t>
  </si>
  <si>
    <t>THỨ TỰ LÀM — 6 TRẠM, 120 PHÚT</t>
  </si>
  <si>
    <t>Trạm 1 · 15'</t>
  </si>
  <si>
    <t>Ngân sách khách &amp; định nghĩa Job → điền S1–S2 của tab 1_Cost_Job</t>
  </si>
  <si>
    <t>Trạm 2 · 20'</t>
  </si>
  <si>
    <t>Value Metric → tab 3_Value_Metric</t>
  </si>
  <si>
    <t>Trạm 3 · 30'</t>
  </si>
  <si>
    <t>Cost/Job, giá sàn &amp; giá trần → tab 1_Cost_Job (S3–S8) rồi 2_Pricing</t>
  </si>
  <si>
    <t>Trạm 4 · 20'</t>
  </si>
  <si>
    <t>Kênh phân phối &amp; Affordability Test → tab 4_Channel_Fit</t>
  </si>
  <si>
    <t>Trạm 5 · 15'</t>
  </si>
  <si>
    <t>Pain Moment &amp; 90-Day Plan → tab 5_90Day_Plan</t>
  </si>
  <si>
    <t>Trạm 6 · 20'</t>
  </si>
  <si>
    <t>Evidence Pack &amp; ráp One-Pager → tab 5_90Day_Plan + file .docx</t>
  </si>
  <si>
    <t>3 QUY TẮC KHÔNG ĐƯỢC PHÁ</t>
  </si>
  <si>
    <t>1. Chia cho số job HOÀN THÀNH, không phải số job đã thử.</t>
  </si>
  <si>
    <t>2. HITL và Retry không được để 0 nếu không có lý do viết ra được.</t>
  </si>
  <si>
    <t>3. Mọi con số giá API phải có NGÀY kiểm tra (xem tab 6_Benchmarks).</t>
  </si>
  <si>
    <t>Giá tham chiếu trong workbook này được chốt ngày 26/08/2026. Nhiều mức giá là KHUYẾN MẠI CÓ HẠN.</t>
  </si>
  <si>
    <t>Bạn PHẢI tự mở lại trang giá của nhà cung cấp và cập nhật — đây là một phần của bài tập.</t>
  </si>
  <si>
    <t>V5 RESEARCH SIMULATION · No MVP / customer interviews / payment or eval. 11_Simulations &amp; 12_Research_Sources contain scenarios and source trace; DO NOT report these as observed evidence.</t>
  </si>
  <si>
    <t>OWNER / Người làm bài: Bùi Thị Ngọc Trân · dự án cá nhân. Mọi vai trò kỹ thuật/QA/Procurement trong kế hoạch đều do chủ dự án quản lý; chưa có nhân viên hay pilot.</t>
  </si>
  <si>
    <t>Dữ liệu giả định (containment 65%, CAC PLG $80, volume 1000 ticket, pricing) KHÔNG là kết quả thực nghiệm. Giá API 08/10/2026 cần tái xác minh khi nộp.</t>
  </si>
  <si>
    <t>TAB 1 — COST/JOB CALCULATOR</t>
  </si>
  <si>
    <t>Trạm 1 (S1–S2) và Trạm 3 (S3–S8). Chỉ điền ô vàng.</t>
  </si>
  <si>
    <t>S1. ĐỊNH NGHĨA JOB</t>
  </si>
  <si>
    <t>1 job của bạn là gì?</t>
  </si>
  <si>
    <t>1 ticket đúng chính sách, không chuyển người, không mở lại trong 24h (giả định đo)</t>
  </si>
  <si>
    <t>Phải là thứ KHÁCH coi là giá trị — không phải '1 request'</t>
  </si>
  <si>
    <t>Biến thể HITL: A hay B?</t>
  </si>
  <si>
    <t>A</t>
  </si>
  <si>
    <t>A = khách tự xử lý ca escalate · B = BẠN chịu (outcome/managed)</t>
  </si>
  <si>
    <t>S2. KHỐI LƯỢNG</t>
  </si>
  <si>
    <t>Số job THỬ / tháng</t>
  </si>
  <si>
    <t>job</t>
  </si>
  <si>
    <t>GIẢ ĐỊNH: 1 shop mục tiêu, chưa đo</t>
  </si>
  <si>
    <t>Containment rate (AI tự làm xong)</t>
  </si>
  <si>
    <t>65% GIẢ ĐỊNH, KHÔNG phải eval</t>
  </si>
  <si>
    <t>→ Số job HOÀN THÀNH / tháng</t>
  </si>
  <si>
    <t>MẪU SỐ của Cost/Job</t>
  </si>
  <si>
    <t>→ Số job KHÔNG xong / tháng</t>
  </si>
  <si>
    <t>Số ca phải escalate</t>
  </si>
  <si>
    <t>S3. API — LLM</t>
  </si>
  <si>
    <t>Giá input ($ / 1M token)</t>
  </si>
  <si>
    <t>Claude Haiku 4.5 — xem tab 6_Benchmarks</t>
  </si>
  <si>
    <t>Giá output ($ / 1M token)</t>
  </si>
  <si>
    <t>Giá cache WRITE ($ / 1M token)</t>
  </si>
  <si>
    <t>Anthropic 5-phút = 1,25× input</t>
  </si>
  <si>
    <t>Giá cache READ ($ / 1M token)</t>
  </si>
  <si>
    <t>≈ 0,1× input (giảm 90%)</t>
  </si>
  <si>
    <t>Số lượt (turns) / job</t>
  </si>
  <si>
    <t>lượt</t>
  </si>
  <si>
    <t>Token input CACHE ĐƯỢC / lượt</t>
  </si>
  <si>
    <t>token</t>
  </si>
  <si>
    <t>System prompt + KB + few-shot</t>
  </si>
  <si>
    <t>Token input FRESH / lượt</t>
  </si>
  <si>
    <t>Câu hỏi khách + dữ liệu động</t>
  </si>
  <si>
    <t>Token output / lượt</t>
  </si>
  <si>
    <t>→ Cache write / job</t>
  </si>
  <si>
    <t>→ Cache read / job</t>
  </si>
  <si>
    <t>→ Input fresh / job</t>
  </si>
  <si>
    <t>→ Output / job</t>
  </si>
  <si>
    <t>→ LLM / job — CÓ prompt caching</t>
  </si>
  <si>
    <t>→ LLM / job — KHÔNG cache</t>
  </si>
  <si>
    <t>→ % tiết kiệm nhờ caching</t>
  </si>
  <si>
    <t>Đòn bẩy rẻ nhất bạn có</t>
  </si>
  <si>
    <t>Dùng Batch API? (1 = có, 0 = không)</t>
  </si>
  <si>
    <t>Batch giảm 50% — chỉ khi job KHÔNG cần realtime</t>
  </si>
  <si>
    <t>→ LLM / job sau Batch</t>
  </si>
  <si>
    <t>S4. API — SPEECH (để 0 nếu sản phẩm không có thoại)</t>
  </si>
  <si>
    <t>Giá STT ($ / phút)</t>
  </si>
  <si>
    <t>Deepgram streaming list $0,0077/phút</t>
  </si>
  <si>
    <t>Số phút audio / job</t>
  </si>
  <si>
    <t>phút</t>
  </si>
  <si>
    <t>Giá TTS ($ / 1M ký tự)</t>
  </si>
  <si>
    <t>ElevenLabs Flash $50 · Google Standard $4</t>
  </si>
  <si>
    <t>Số ký tự TTS / job</t>
  </si>
  <si>
    <t>ký tự</t>
  </si>
  <si>
    <t>≈ 900 ký tự cho mỗi phút bot nói</t>
  </si>
  <si>
    <t>→ Speech / job</t>
  </si>
  <si>
    <t>S5. INFRA</t>
  </si>
  <si>
    <t>Infra / job ($)</t>
  </si>
  <si>
    <t>Giả định vector DB + embeddings + logs + storage</t>
  </si>
  <si>
    <t>Telephony ($ / phút)</t>
  </si>
  <si>
    <t>Không có thoại/telephony trong MVP text-only -&gt; chi phí telephony = 0 có lý do.</t>
  </si>
  <si>
    <t>→ Infra / job</t>
  </si>
  <si>
    <t>S6. RETRY</t>
  </si>
  <si>
    <t>Tỷ lệ job phải chạy lại</t>
  </si>
  <si>
    <t>ĐỪNG để 0%. Thực tế 5–10% là bình thường</t>
  </si>
  <si>
    <t>→ Retry / job</t>
  </si>
  <si>
    <t>S7. HITL — người trong vòng lặp</t>
  </si>
  <si>
    <t>Chi phí nhân sự ($ / giờ, fully-loaded)</t>
  </si>
  <si>
    <t>Giả định fully-loaded; phải hỏi nhà cung cấp QA</t>
  </si>
  <si>
    <t>% hội thoại QA nội bộ</t>
  </si>
  <si>
    <t>Luôn có, kể cả Biến thể A</t>
  </si>
  <si>
    <t>Số phút QA / ca</t>
  </si>
  <si>
    <t>Số phút xử lý 1 ca escalate</t>
  </si>
  <si>
    <t>→ QA nội bộ / tháng</t>
  </si>
  <si>
    <t>→ Escalation / tháng (chỉ Biến thể B)</t>
  </si>
  <si>
    <t>Biến thể A → 0 vì khách tự chịu</t>
  </si>
  <si>
    <t>→ Tổng HITL / tháng</t>
  </si>
  <si>
    <t>S8. OVERHEAD (tuỳ chọn)</t>
  </si>
  <si>
    <t>R&amp;D + Sales phân bổ / tháng ($)</t>
  </si>
  <si>
    <t>40 USD/tháng phân bổ overhead giả định; tách khỏi GM</t>
  </si>
  <si>
    <t>Biến thể A: shop xử lý escalation; 0 USD escalation là chi phí phía nhà cung cấp, KHÔNG có nghĩa không có HITL. QA nội bộ $18,67/tháng.</t>
  </si>
  <si>
    <t>KẾT QUẢ</t>
  </si>
  <si>
    <t>Chi phí biến đổi / tháng (API + Speech + Infra + Retry)</t>
  </si>
  <si>
    <t>HITL / tháng</t>
  </si>
  <si>
    <t>Overhead / tháng</t>
  </si>
  <si>
    <t>TỔNG CHI PHÍ / tháng</t>
  </si>
  <si>
    <t>Overhead $40/tháng theo giả định, tính ở Cost/Job đầy đủ B67 và contribution sau overhead; GM kế toán ở tab Pricing chỉ gồm COGS.</t>
  </si>
  <si>
    <t>★ COST/JOB (chưa overhead)</t>
  </si>
  <si>
    <t>$/job</t>
  </si>
  <si>
    <t>Con số chảy sang tab 2_Pricing</t>
  </si>
  <si>
    <t>★ COST/JOB (có overhead)</t>
  </si>
  <si>
    <t>Tỷ giá (₫ / USD) — giả định</t>
  </si>
  <si>
    <t>₫/USD</t>
  </si>
  <si>
    <t>Thay bằng tỷ giá thực tế khi làm bài</t>
  </si>
  <si>
    <t>→ Cost/Job quy đổi</t>
  </si>
  <si>
    <t>₫/job</t>
  </si>
  <si>
    <t>THÀNH PHẦN NÀO ĂN NHIỀU NHẤT? (kiểm tra nhanh)</t>
  </si>
  <si>
    <t>Tỷ trọng bao gồm overhead; GM tại 2_Pricing loại overhead theo quy ước COGS. Không nhầm hai mẫu số.</t>
  </si>
  <si>
    <t>LLM</t>
  </si>
  <si>
    <t>Speech</t>
  </si>
  <si>
    <t>Infra</t>
  </si>
  <si>
    <t>Retry</t>
  </si>
  <si>
    <t>HITL</t>
  </si>
  <si>
    <t>Overhead</t>
  </si>
  <si>
    <t>Nếu LLM chiếm &gt;80% thì gần như chắc chắn bạn đang thiếu chi phí ở S5–S7.</t>
  </si>
  <si>
    <t>TAB 2 — PRICING SANITY CHECK</t>
  </si>
  <si>
    <t>Trạm 3. Cost/Job tự lấy từ tab 1. Bạn điền giá bán và các con số neo giá.</t>
  </si>
  <si>
    <t>GIÁ SÀN</t>
  </si>
  <si>
    <t>HYBRID ECONOMICS — nguồn duy nhất cho phí nền + phí usage</t>
  </si>
  <si>
    <t>Cost/Job (từ tab 1_Cost_Job)</t>
  </si>
  <si>
    <t>Phí nền $/shop/tháng [GIẢ ĐỊNH]</t>
  </si>
  <si>
    <t>Hệ số an toàn tối thiểu</t>
  </si>
  <si>
    <t>×</t>
  </si>
  <si>
    <t>Giá bán ≥ 3 × Cost/Job</t>
  </si>
  <si>
    <t>Phí theo ticket resolved $ [GIẢ ĐỊNH]</t>
  </si>
  <si>
    <t>→ GIÁ SÀN</t>
  </si>
  <si>
    <t>Ticket completed / tháng (giả định)</t>
  </si>
  <si>
    <t>Revenue nền + usage / tháng</t>
  </si>
  <si>
    <t>GIÁ TRẦN — NEO THEO THỨ KHÁCH ĐANG CHI</t>
  </si>
  <si>
    <t>COGS / tháng (loại overhead)</t>
  </si>
  <si>
    <t>Giá trị khách tiết kiệm được / tháng ($)</t>
  </si>
  <si>
    <t>GIẢ ĐỊNH cần xác minh: $850/tháng giá trị thời gian/hậu mãi/giảm chi phí; chưa có phỏng vấn hoặc ROI.</t>
  </si>
  <si>
    <t>Gross margin BLENDED — toàn gói</t>
  </si>
  <si>
    <t>Số job / tháng của 1 khách</t>
  </si>
  <si>
    <t>ARPU / tháng</t>
  </si>
  <si>
    <t>→ Trần theo giá trị — mức 10%</t>
  </si>
  <si>
    <t>Giá hiệu dụng / completed job</t>
  </si>
  <si>
    <t>→ Trần theo giá trị — mức 25%</t>
  </si>
  <si>
    <t>Overhead R&amp;D/sales / tháng (không vào GM)</t>
  </si>
  <si>
    <t>Lương / tháng của vị trí bị thay ($)</t>
  </si>
  <si>
    <t>GIẢ ĐỊNH lương $450/tháng; giá không neo theo ChatGPT $20.</t>
  </si>
  <si>
    <t>Contribution sau overhead / tháng</t>
  </si>
  <si>
    <t>→ Trần theo nhân công — mức 50%</t>
  </si>
  <si>
    <t>GM nếu containment=50%</t>
  </si>
  <si>
    <t>→ Trần theo nhân công — mức 70%</t>
  </si>
  <si>
    <t>Điểm gãy GM &lt;50%: containment</t>
  </si>
  <si>
    <t>GM tại containment giả định</t>
  </si>
  <si>
    <t>GIÁ BÁN CỦA BẠN</t>
  </si>
  <si>
    <t>Tỷ lệ phí nền trong doanh thu</t>
  </si>
  <si>
    <t>★ Giá bán đề xuất ($ / job)</t>
  </si>
  <si>
    <t>B19 = giá hiệu dụng bình quân / resolved job ($0.2746), KHÔNG phải mức khách trực tiếp thanh toán. Thu phí giả định: $29/shop/tháng (H5) + $0.23/resolution (H6); chỉ pilot mô phỏng cho tới khi có Eval và quy định dispute.</t>
  </si>
  <si>
    <t>Doanh thu / giá trị khách tiết kiệm</t>
  </si>
  <si>
    <t>→ Bội số so với Cost/Job</t>
  </si>
  <si>
    <t>→ GROSS MARGIN</t>
  </si>
  <si>
    <t>GM 72.6% từ toàn bộ doanh thu Hybrid giả định, chi phí COGS API + Infra + Retry + QA. Overhead $40 là chi phí ngoài GM; contribution sau overhead tính tại H14.</t>
  </si>
  <si>
    <t>KIỂM SOÁT: không trộn GM usage-only với blended</t>
  </si>
  <si>
    <t>→ Đèn: bội số ≥ 3?</t>
  </si>
  <si>
    <t>Chỉ bán outcome sau Eval; hợp đồng chưa kích hoạt</t>
  </si>
  <si>
    <t>→ Đèn: Gross Margin</t>
  </si>
  <si>
    <t>Cửa sổ reopen 24h chỉ là giả định, không benchmark</t>
  </si>
  <si>
    <t>→ Đèn: GM có cao bất thường?</t>
  </si>
  <si>
    <t>Giá API kiểm 08/10/2026; giá bán giả định</t>
  </si>
  <si>
    <t>→ Giá bán nằm trong vùng neo?</t>
  </si>
  <si>
    <t>Nếu containment=0: phí nền vẫn thu, job=0 (không dùng Cost/Job)</t>
  </si>
  <si>
    <t>MINIMUM CONTAINMENT TO REACH TARGET 60% GROSS MARGIN</t>
  </si>
  <si>
    <t>Ký hiệu: v = chi phí biến đổi / job thử · q = QA / job thử · e = chi phí 1 ca escalate</t>
  </si>
  <si>
    <t>v — chi phí biến đổi / job thử</t>
  </si>
  <si>
    <t>q — QA nội bộ / job thử</t>
  </si>
  <si>
    <t>e — chi phí 1 ca escalate</t>
  </si>
  <si>
    <t>Gross Margin mục tiêu</t>
  </si>
  <si>
    <t>★ Containment tối thiểu cần đạt</t>
  </si>
  <si>
    <t>40.6% là containment tối thiểu để GM &gt;=60%, KHÔNG phải điểm hòa vốn lợi nhuận 0; hiện chỉ là mô phỏng (65% chưa có Eval).</t>
  </si>
  <si>
    <t>Containment hiện tại (từ tab 1)</t>
  </si>
  <si>
    <t>→ Kết luận</t>
  </si>
  <si>
    <t>SENSITIVITY — mô hình gãy ở đâu?</t>
  </si>
  <si>
    <t>Containment</t>
  </si>
  <si>
    <t>Cost/Job</t>
  </si>
  <si>
    <t>Gross Margin</t>
  </si>
  <si>
    <t>Đánh giá</t>
  </si>
  <si>
    <t>Nhìn cột Gross Margin: mô hình của bạn mong manh đến mức nào khi AI làm sai nhiều hơn dự kiến?</t>
  </si>
  <si>
    <t>5 CON SỐ PHẢI MANG SANG ONE-PAGER</t>
  </si>
  <si>
    <t>Giá sàn (3×)</t>
  </si>
  <si>
    <t>Giá bán đề xuất</t>
  </si>
  <si>
    <t>Breakeven containment</t>
  </si>
  <si>
    <t>TAB 3 — VALUE METRIC SCORECARD</t>
  </si>
  <si>
    <t>Trạm 2. Chấm 0 / 1 / 2 điểm cho mỗi câu, theo THỰC TẾ HÔM NAY.</t>
  </si>
  <si>
    <t>A. ATTRIBUTION — bạn đo được kết quả là do AI tạo ra không?</t>
  </si>
  <si>
    <t>1. Tôi có log đầy đủ mỗi job AI xử lý, gắn được với kết quả cuối cùng</t>
  </si>
  <si>
    <t>2. Tôi có bộ eval đo được tỷ lệ AI làm đúng, có số liệu</t>
  </si>
  <si>
    <t>3. Khách hàng đồng ý với cách tôi định nghĩa 'thành công' của một job</t>
  </si>
  <si>
    <t>4. Tôi phân biệt được kết quả do AI tạo ra với kết quả do yếu tố khác</t>
  </si>
  <si>
    <t>5. Tôi viết được định nghĩa chặt như Intercom: cái gì tính tiền, cái gì không</t>
  </si>
  <si>
    <t>→ ĐIỂM ATTRIBUTION (tối đa 10)</t>
  </si>
  <si>
    <t>B. AUTONOMY — AI tự chạy hay cần người?</t>
  </si>
  <si>
    <t>1. AI hoàn thành job từ đầu đến cuối, không cần người bấm nút giữa chừng</t>
  </si>
  <si>
    <t>2. Job chạy được ngoài giờ hành chính mà không ai trực</t>
  </si>
  <si>
    <t>3. Khi AI không chắc, nó tự chuyển tiếp đúng chỗ — không cần người phân loại</t>
  </si>
  <si>
    <t>4. Tỷ lệ ca phải có người can thiệp dưới 20%</t>
  </si>
  <si>
    <t>5. Người vận hành chỉ kiểm tra mẫu (QA), không xử lý từng ca</t>
  </si>
  <si>
    <t>→ ĐIỂM AUTONOMY (tối đa 10)</t>
  </si>
  <si>
    <t>GỢI Ý CỦA MODEL</t>
  </si>
  <si>
    <t>→ Value Metric gợi ý</t>
  </si>
  <si>
    <t>Ngưỡng 7/10 là quy ước của bài tập, không phải chuẩn ngành — dùng để buộc bạn ra quyết định, không phải để thay bạn quyết định.</t>
  </si>
  <si>
    <t>BENCHMARK NGƯỢC — 2 sản phẩm thật cùng loại job</t>
  </si>
  <si>
    <t>Tên sản phẩm</t>
  </si>
  <si>
    <t>Value Metric</t>
  </si>
  <si>
    <t>Giá công bố</t>
  </si>
  <si>
    <t>Link nguồn</t>
  </si>
  <si>
    <t>Intercom Fin</t>
  </si>
  <si>
    <t>Outcome — resolution</t>
  </si>
  <si>
    <t>$0.99 / resolution</t>
  </si>
  <si>
    <t>https://fin.ai/pricing/</t>
  </si>
  <si>
    <t>Zendesk AI Agents</t>
  </si>
  <si>
    <t>Outcome — automated resolution</t>
  </si>
  <si>
    <t>$1.50/resolution committed; $2 pay-as-you-go (US pricing, kiểm 08/10/2026)</t>
  </si>
  <si>
    <t>https://www.zendesk.com/pricing/</t>
  </si>
  <si>
    <t>QUYẾT ĐỊNH CUỐI</t>
  </si>
  <si>
    <t>Value Metric tôi chọn</t>
  </si>
  <si>
    <t>HYBRID giả thuyết: $29 phí nền + usage pilot; mức $0.23/ticket verified là giá mục tiêu có điều kiện Eval, CHƯA triển khai outcome billing.</t>
  </si>
  <si>
    <t>Nếu KHÁC gợi ý — lý do thị trường là gì?</t>
  </si>
  <si>
    <t>Attribution 1/10 và Autonomy 0/10 đều là chấm giả định pre-MVP; chưa có eval. Trong pilot ưu tiên đo usage có giới hạn chi phí, chưa phát hóa đơn outcome.</t>
  </si>
  <si>
    <t>Decision Note — câu 1: tôi chọn đơn vị nào?</t>
  </si>
  <si>
    <t>Override thị trường: $29 nền chi cho KB, dashboard và hỗ trợ onboarding; khách SME cần dự báo ngân sách. $0.23/verified resolution chỉ được triển khai khi quy tắc dispute + eval đã được xác nhận.</t>
  </si>
  <si>
    <t>Decision Note — câu 2: bằng chứng Attribution / Autonomy?</t>
  </si>
  <si>
    <t>Attribution 1/10 (chỉ có định nghĩa job); Autonomy 0/10; chưa có log, khách, eval hoặc demo.</t>
  </si>
  <si>
    <t>Decision Note — câu 3: mô hình này lỗ trong tình huống nào?</t>
  </si>
  <si>
    <t>Rủi ro: ticket reopen, traffic tăng, tranh chấp attribution; giai đoạn đầu chỉ báo giá/pilot giả định, hợp đồng sau eval.</t>
  </si>
  <si>
    <t>TAB 4 — CHANNEL FIT &amp; AFFORDABILITY TEST</t>
  </si>
  <si>
    <t>Trạm 4. Chọn ĐÚNG 1 kênh cho 90 ngày đầu — và chứng minh bằng số.</t>
  </si>
  <si>
    <t>A. NGÂN SÁCH CAC — bạn nuôi nổi kênh nào?</t>
  </si>
  <si>
    <t>PLG CAC — GIẢ ĐỊNH FUNNEL TEST / THÁNG</t>
  </si>
  <si>
    <t>ARPU / tháng ($)</t>
  </si>
  <si>
    <t>Visitor đủ điều kiện</t>
  </si>
  <si>
    <t>Gross Margin (từ tab 2_Pricing)</t>
  </si>
  <si>
    <t>Visitor → sign-up</t>
  </si>
  <si>
    <t>Phân khúc (SMB / Mid / Enterprise)</t>
  </si>
  <si>
    <t>SMB</t>
  </si>
  <si>
    <t>Sign-up → kích hoạt shop</t>
  </si>
  <si>
    <t>→ CAC payback cho phép (tháng)</t>
  </si>
  <si>
    <t>tháng</t>
  </si>
  <si>
    <t>Bessemer, Scaling to $100M (2024)</t>
  </si>
  <si>
    <t>Kích hoạt → paid shop</t>
  </si>
  <si>
    <t>★ NGÂN SÁCH CAC / khách</t>
  </si>
  <si>
    <t>ARPU × GM × số tháng payback</t>
  </si>
  <si>
    <t>Paid shops / tháng</t>
  </si>
  <si>
    <t>→ ACV (giá trị hợp đồng / năm)</t>
  </si>
  <si>
    <t>Acquisition spend $/tháng</t>
  </si>
  <si>
    <t>Chi phí onboarding + support trial $/tháng</t>
  </si>
  <si>
    <t>B. SALES VIABILITY — một AE phải chốt bao nhiêu deal?</t>
  </si>
  <si>
    <t>CAC PLG ƯỚC TÍNH / khách</t>
  </si>
  <si>
    <t>Quota / AE / năm ($)</t>
  </si>
  <si>
    <t>Giả định gốc của Tunguz (2016) — thay bằng số thị trường bạn</t>
  </si>
  <si>
    <t>CAC budget / PLG CAC</t>
  </si>
  <si>
    <t>Số ngày làm việc / năm</t>
  </si>
  <si>
    <t>ngày</t>
  </si>
  <si>
    <t>Gate: PLG CAC ≤ budget?</t>
  </si>
  <si>
    <t>→ Số deal / AE / năm</t>
  </si>
  <si>
    <t>Nguồn: toàn bộ là kịch bản, KHÔNG phải thực tế</t>
  </si>
  <si>
    <t>★ Số deal / AE / NGÀY</t>
  </si>
  <si>
    <t>deal/ngày</t>
  </si>
  <si>
    <t>Nếu &lt;1 paid shop thì CAC undefined; không diễn giải là 0</t>
  </si>
  <si>
    <t>→ Kết luận Sales-Led</t>
  </si>
  <si>
    <t>Deals/day is mechanically &lt;=1, but customer acquisition cost makes rep-led unaffordable.</t>
  </si>
  <si>
    <t>Kênh duy nhất trong 90 ngày: PLG</t>
  </si>
  <si>
    <t>Đầu mối inbound: demo sandbox, chưa khẳng định Zalo approved</t>
  </si>
  <si>
    <t>C. ĐỐI CHIẾU CAC THỰC TẾ CỦA MOTION CÓ SALES</t>
  </si>
  <si>
    <t>Cost per opportunity ($)</t>
  </si>
  <si>
    <t>ICONIQ 2026 theo phân khúc: $6.300 · $8.000 · $11.200</t>
  </si>
  <si>
    <t>Win rate</t>
  </si>
  <si>
    <t>→ CAC thực tế ước tính / khách</t>
  </si>
  <si>
    <t>★ Lệch bao nhiêu lần so với ngân sách CAC?</t>
  </si>
  <si>
    <t>Đây là bằng chứng chọn kênh của bạn</t>
  </si>
  <si>
    <t>D. CHẤM ĐIỂM 3 KÊNH (1 = rất kém, 5 = rất tốt)</t>
  </si>
  <si>
    <t>Tiêu chí</t>
  </si>
  <si>
    <t>PLG</t>
  </si>
  <si>
    <t>Sales-Led</t>
  </si>
  <si>
    <t>Partner-Led</t>
  </si>
  <si>
    <t>1. Ngân sách CAC của tôi nuôi nổi kênh này</t>
  </si>
  <si>
    <t>2. Khách hàng mục tiêu thực sự mua theo cách này</t>
  </si>
  <si>
    <t>3. Đội hiện tại có năng lực chạy kênh này ngay</t>
  </si>
  <si>
    <t>4. Tôi tiếp cận được điểm nhúng / partner trong 30 ngày</t>
  </si>
  <si>
    <t>5. Kênh này đưa tôi đến ĐÚNG Pain Moment</t>
  </si>
  <si>
    <t>6. Tôi đo được hiệu quả trong vòng 90 ngày</t>
  </si>
  <si>
    <t>→ TỔNG ĐIỂM</t>
  </si>
  <si>
    <t>→ Kênh điểm cao nhất</t>
  </si>
  <si>
    <t>E. CHỐT KÊNH</t>
  </si>
  <si>
    <t>★ Kênh tôi chọn cho 90 ngày đầu</t>
  </si>
  <si>
    <t>ĐÚNG 1 kênh. Chọn 2 kênh trở lên bị trừ điểm.</t>
  </si>
  <si>
    <t>Nếu Partner-Led: TÊN CÔNG TY partner</t>
  </si>
  <si>
    <t>Không áp dụng — không chọn Partner-Led</t>
  </si>
  <si>
    <t>'Các nền tảng trong ngành' = chưa có kênh</t>
  </si>
  <si>
    <t>Đã nói chuyện với họ chưa? (Rồi / Chưa)</t>
  </si>
  <si>
    <t>Chưa</t>
  </si>
  <si>
    <t>Bạn mang lại giá trị gì cho partner?</t>
  </si>
  <si>
    <t>Chưa có partner; không hứa tích hợp đối tác chưa ký</t>
  </si>
  <si>
    <t>Nếu rơi vào vùng không khả thi — lối thoát nào?</t>
  </si>
  <si>
    <t>PLG giả thuyết vì rep-led benchmark $25,200/CAC cao hơn ngân sách; không có partner đã ký. Gate PLG CAC $80 (chỉ mô phỏng); thất bại nếu &lt;4 paid/shop hoặc CAC &gt; budget. 15 interview là research, không tính là kênh Sales-Led.</t>
  </si>
  <si>
    <t>PLG is a single-channel RESEARCH HYPOTHESIS. Simulated CAC is not observed; Zalo OA permissions unknown.</t>
  </si>
  <si>
    <t>TAB 5 — PAIN MOMENT · 90-DAY PLAN · EVIDENCE PACK</t>
  </si>
  <si>
    <t>Trạm 5 và Trạm 6.</t>
  </si>
  <si>
    <t>A. PAIN MOMENT — phải đủ 3 phần</t>
  </si>
  <si>
    <t>MẤY GIỜ khách đau nhất?</t>
  </si>
  <si>
    <t>20:00 (giả thuyết, xác minh phỏng vấn)</t>
  </si>
  <si>
    <t>Lúc đó họ ĐANG LÀM GÌ?</t>
  </si>
  <si>
    <t>Chủ shop đang trả lời 20+ câu lặp về đơn / vận chuyển</t>
  </si>
  <si>
    <t>Họ đang DÙNG APP / KÊNH NÀO?</t>
  </si>
  <si>
    <t>Zalo Official Account (kịch bản; cần xác minh API)</t>
  </si>
  <si>
    <t>→ Điểm nhúng cụ thể của bạn</t>
  </si>
  <si>
    <t>Luồng chat Zalo OA qua webhook/official API sau khi được phê duyệt</t>
  </si>
  <si>
    <t>Một bề mặt tích hợp có tên, không phải 'website của chúng tôi'</t>
  </si>
  <si>
    <t>B. 90-DAY PLAN</t>
  </si>
  <si>
    <t>THÁNG 1 — Học</t>
  </si>
  <si>
    <t>THÁNG 2–3 — Đòn bẩy</t>
  </si>
  <si>
    <t>THÁNG 4+ — Mở rộng</t>
  </si>
  <si>
    <t>Kênh sử dụng</t>
  </si>
  <si>
    <t>Mục tiêu số khách</t>
  </si>
  <si>
    <t>5 shop thiết kế đồng hành; 0 cam kết trả tiền</t>
  </si>
  <si>
    <t>10 shop kích hoạt, 3 pilot có thể trả phí</t>
  </si>
  <si>
    <t>30 shop nếu đạt gate pilot</t>
  </si>
  <si>
    <t>Việc cụ thể 1</t>
  </si>
  <si>
    <t>15 phỏng vấn, xác thực volume + workflow</t>
  </si>
  <si>
    <t>Đưa MVP sandbox, đo ticket outcome</t>
  </si>
  <si>
    <t>Tối ưu onboarding và tích hợp</t>
  </si>
  <si>
    <t>Việc cụ thể 2</t>
  </si>
  <si>
    <t>Thiết kế Job / policy KB / escalation</t>
  </si>
  <si>
    <t>Thử nghiệm phí $29 + $0.23/ticket</t>
  </si>
  <si>
    <t>Mở thêm một vertical shop nếu ROI dương</t>
  </si>
  <si>
    <t>Việc cụ thể 3</t>
  </si>
  <si>
    <t>Thu 100 hội thoại giả lập, có đồng ý</t>
  </si>
  <si>
    <t>1000+ ticket pilot đã gắn nhãn</t>
  </si>
  <si>
    <t>Giám sát lỗi và chi phí theo cohort</t>
  </si>
  <si>
    <t>KPI đo được</t>
  </si>
  <si>
    <t>15 interview + 5 shops đồng thiết kế + 100 tình huống eval (TARGET)</t>
  </si>
  <si>
    <t>10 shop kích hoạt; 3 pilot mục tiêu; &gt;=60% containment chỉ nếu đo đúng</t>
  </si>
  <si>
    <t>&gt;=60% blended GM, PLG CAC &lt;= budget, payback &lt;12 tháng (GATE)</t>
  </si>
  <si>
    <t>Người chịu trách nhiệm</t>
  </si>
  <si>
    <t>Chủ dự án: Bùi Thị Ngọc Trân (cá nhân; tự chịu trách nhiệm nghiên cứu và điều phối các tác vụ kỹ thuật dự kiến)</t>
  </si>
  <si>
    <t>Chủ dự án: Bùi Thị Ngọc Trân (chưa có Tech Lead hay khách thử nghiệm; chỉ triển khai khi đủ điều kiện)</t>
  </si>
  <si>
    <t>Chủ dự án: Bùi Thị Ngọc Trân (quyết định mở rộng sau khi kiểm chứng)</t>
  </si>
  <si>
    <t>Tháng 1 là giai đoạn HỌC, không phải scale. Kế hoạch 'tháng 1 lấy 200 khách ở 5 ngành' là kế hoạch chưa ai từng thử làm.</t>
  </si>
  <si>
    <t>C. EVIDENCE PACK — 3 tài sản bán hàng</t>
  </si>
  <si>
    <t>Tài sản</t>
  </si>
  <si>
    <t>Đã có? (Rồi/Chưa)</t>
  </si>
  <si>
    <t>Nội dung 1 câu — hoặc việc cần làm</t>
  </si>
  <si>
    <t>Người phụ trách · Deadline</t>
  </si>
  <si>
    <t>1. Eval Results</t>
  </si>
  <si>
    <t>CHƯA CÓ — cần tạo bộ eval</t>
  </si>
  <si>
    <t>Eval 100 case phân tầng 4 intent; accuracy, unsupported claim, escalation, 24h-reopen, audit sampling</t>
  </si>
  <si>
    <t>Bùi Thị Ngọc Trân · deadline 31/10/2026 (kế hoạch, chưa có Eval)</t>
  </si>
  <si>
    <t>2. Risk Checklist</t>
  </si>
  <si>
    <t>CHƯA CÓ — cần procurement Q&amp;A</t>
  </si>
  <si>
    <t>Q&amp;A có trích tài liệu thực tế nhà cung cấp: train-data, retention, DPA, export/delete, thất bại &amp; fallback</t>
  </si>
  <si>
    <t>Bùi Thị Ngọc Trân · deadline 15/11/2026 (Q&amp;A dạng draft; cần đối chiếu điều khoản DPA/retention)</t>
  </si>
  <si>
    <t>3. Pilot Report</t>
  </si>
  <si>
    <t>CHƯA CÓ — cần thử pilot; không giả định hợp đồng</t>
  </si>
  <si>
    <t>Pilot 4 tuần tại 3 shop CÓ CONSENT; báo cáo 1000+ ticket, thời gian tiết kiệm thực, CAC, invoice (nếu có)</t>
  </si>
  <si>
    <t>Bùi Thị Ngọc Trân · deadline 08/01/2027 (pilot chưa thực hiện)</t>
  </si>
  <si>
    <t>Ô nào CHƯA CÓ thì ghi deadline — đừng bỏ trống. Thành thật về khoảng trống được điểm cao hơn bịa nội dung.</t>
  </si>
  <si>
    <t>D. BÀI TEST NGƯỜI LẠ — nhóm khác đọc One-Pager trong 2 phút</t>
  </si>
  <si>
    <t>CHƯA — lên lịch người đọc độc lập; không giả là đã đánh giá</t>
  </si>
  <si>
    <t>Họ trả lời được: bán gì, cho ai, tính tiền theo đơn vị nào? (Được/Không)</t>
  </si>
  <si>
    <t>Họ trả lời được: có lãi trên mỗi đơn vị không, số nào chứng minh? (Được/Không)</t>
  </si>
  <si>
    <t>CHƯA TEST — mục tiêu kiểm thử độc lập; không công nhận đã PASS</t>
  </si>
  <si>
    <t>Họ trả lời được: tiếp cận khách qua đâu, vì sao kênh đó? (Được/Không)</t>
  </si>
  <si>
    <t>Số câu họ phải hỏi lại (mục tiêu ≤ 3)</t>
  </si>
  <si>
    <t>CHƯA ĐO; không coi là qua test</t>
  </si>
  <si>
    <t>TAB 6 — BENCHMARKS (CHỈ ĐỌC)</t>
  </si>
  <si>
    <t>Giá chốt ngày 26/08/2026. Dòng có ⏳ là GIÁ KHUYẾN MẠI CÓ HẠN — phải kiểm tra lại.</t>
  </si>
  <si>
    <t>NGÀY BẠN KIỂM TRA LẠI GIÁ</t>
  </si>
  <si>
    <t>2026-10-08</t>
  </si>
  <si>
    <t>Bắt buộc điền — Rubric có chấm mục này</t>
  </si>
  <si>
    <t>Nhóm</t>
  </si>
  <si>
    <t>Mục</t>
  </si>
  <si>
    <t>Giá</t>
  </si>
  <si>
    <t>Đơn vị</t>
  </si>
  <si>
    <t>Nguồn</t>
  </si>
  <si>
    <t>Claude Opus 5 — input / output</t>
  </si>
  <si>
    <t>5,00 / 25,00</t>
  </si>
  <si>
    <t>$ / 1M token</t>
  </si>
  <si>
    <t>platform.claude.com/docs/en/about-claude/pricing</t>
  </si>
  <si>
    <t>Claude Sonnet 5 — input / output</t>
  </si>
  <si>
    <t>2,00 / 10,00</t>
  </si>
  <si>
    <t>Claude Haiku 4.5 — input / output</t>
  </si>
  <si>
    <t>1,00 / 5,00</t>
  </si>
  <si>
    <t>Claude — cache write 5' / cache read</t>
  </si>
  <si>
    <t>1,25× / 0,10× input</t>
  </si>
  <si>
    <t>hệ số</t>
  </si>
  <si>
    <t>⏳ OpenAI GPT-5.6 Sol — input / output</t>
  </si>
  <si>
    <t>4,00 / 20,00</t>
  </si>
  <si>
    <t>developers.openai.com/api/docs/pricing (KM 21/08–21/11/2026; list 5,00/30,00)</t>
  </si>
  <si>
    <t>OpenAI GPT-5.6 Luna — input / output</t>
  </si>
  <si>
    <t>0,20 / 1,20</t>
  </si>
  <si>
    <t>developers.openai.com/api/docs/pricing</t>
  </si>
  <si>
    <t>OpenAI — cached input / Batch API</t>
  </si>
  <si>
    <t>10% input / −50%</t>
  </si>
  <si>
    <t>Gemini 3.1 Pro — input / output (≤200k)</t>
  </si>
  <si>
    <t>2,00 / 12,00</t>
  </si>
  <si>
    <t>ai.google.dev/gemini-api/docs/pricing</t>
  </si>
  <si>
    <t>⏳ Gemini 3.7 Flash — input / output</t>
  </si>
  <si>
    <t>0,75 / 3,75</t>
  </si>
  <si>
    <t>ai.google.dev/gemini-api/docs/pricing (KM đến 31/12/2026; sau đó 1,50/7,50)</t>
  </si>
  <si>
    <t>STT</t>
  </si>
  <si>
    <t>Deepgram Nova-3 — pre-recorded</t>
  </si>
  <si>
    <t>0,0043</t>
  </si>
  <si>
    <t>$ / phút</t>
  </si>
  <si>
    <t>deepgram.com/pricing</t>
  </si>
  <si>
    <t>⏳ Deepgram Nova-3 — streaming</t>
  </si>
  <si>
    <t>list 0,0077 · KM 0,0048</t>
  </si>
  <si>
    <t>deepgram.com/pricing — đang khuyến mại, kiểm tra lại</t>
  </si>
  <si>
    <t>AssemblyAI Universal-2 — async</t>
  </si>
  <si>
    <t>0,0025</t>
  </si>
  <si>
    <t>assemblyai.com/pricing</t>
  </si>
  <si>
    <t>OpenAI gpt-4o-mini-transcribe</t>
  </si>
  <si>
    <t>0,0030</t>
  </si>
  <si>
    <t>TTS</t>
  </si>
  <si>
    <t>Google Cloud TTS — Standard</t>
  </si>
  <si>
    <t>4,00</t>
  </si>
  <si>
    <t>$ / 1M ký tự</t>
  </si>
  <si>
    <t>cloud.google.com/text-to-speech/pricing (rẻ nhất)</t>
  </si>
  <si>
    <t>OpenAI tts-1</t>
  </si>
  <si>
    <t>15,00</t>
  </si>
  <si>
    <t>ElevenLabs Flash / Turbo</t>
  </si>
  <si>
    <t>50,00</t>
  </si>
  <si>
    <t>elevenlabs.io/pricing/api</t>
  </si>
  <si>
    <t>ElevenLabs v3 / v2 Multilingual</t>
  </si>
  <si>
    <t>100,00</t>
  </si>
  <si>
    <t>Quy đổi</t>
  </si>
  <si>
    <t>Tốc độ nói</t>
  </si>
  <si>
    <t>≈ 900</t>
  </si>
  <si>
    <t>ký tự / phút</t>
  </si>
  <si>
    <t>≈150 từ/phút — dùng để đổi phút ↔ ký tự</t>
  </si>
  <si>
    <t>Lưu ý</t>
  </si>
  <si>
    <t>Google TTS — ký tự CJK</t>
  </si>
  <si>
    <t>tính là 1 ký tự</t>
  </si>
  <si>
    <t>—</t>
  </si>
  <si>
    <t>cloud.google.com/text-to-speech/pricing (KHÔNG phải ×2)</t>
  </si>
  <si>
    <t>Google STT — tính theo kênh</t>
  </si>
  <si>
    <t>4 kênh × 120s = 480s</t>
  </si>
  <si>
    <t>cloud.google.com/speech-to-text/pricing</t>
  </si>
  <si>
    <t>Streaming vs async STT</t>
  </si>
  <si>
    <t>1× đến ~5×</t>
  </si>
  <si>
    <t>Tuỳ nhà cung cấp — AssemblyAI 1,0× · Google ~5×. Đừng dùng hệ số chung</t>
  </si>
  <si>
    <t>Sản phẩm</t>
  </si>
  <si>
    <t>Intercom Fin — resolution</t>
  </si>
  <si>
    <t>0,99</t>
  </si>
  <si>
    <t>$ / outcome</t>
  </si>
  <si>
    <t>fin.ai/pricing</t>
  </si>
  <si>
    <t>Intercom Fin — qualification (sales)</t>
  </si>
  <si>
    <t>9,99</t>
  </si>
  <si>
    <t>Zendesk — automated resolution</t>
  </si>
  <si>
    <t>1,50</t>
  </si>
  <si>
    <t>$ / resolution</t>
  </si>
  <si>
    <t>zendesk.com/blog/ai/agentic-ai/outcome-based-pricing/ (blog, không trên trang giá)</t>
  </si>
  <si>
    <t>Salesforce Agentforce — Flex Credit</t>
  </si>
  <si>
    <t>0,005 (action = 0,10)</t>
  </si>
  <si>
    <t>$ / credit</t>
  </si>
  <si>
    <t>salesforce.com/agentforce/pricing</t>
  </si>
  <si>
    <t>Salesforce Agentforce — conversation</t>
  </si>
  <si>
    <t>2,00</t>
  </si>
  <si>
    <t>$ / conversation</t>
  </si>
  <si>
    <t>GitHub Copilot — AI Credit</t>
  </si>
  <si>
    <t>0,01</t>
  </si>
  <si>
    <t>docs.github.com/en/copilot/get-started/plans</t>
  </si>
  <si>
    <t>GitHub Copilot Business / Enterprise</t>
  </si>
  <si>
    <t>19 / 39</t>
  </si>
  <si>
    <t>$ / seat / tháng</t>
  </si>
  <si>
    <t>Notion — Business / credits</t>
  </si>
  <si>
    <t>20 / 10 per 1.000</t>
  </si>
  <si>
    <t>$ / member / tháng</t>
  </si>
  <si>
    <t>notion.com/pricing</t>
  </si>
  <si>
    <t>Benchmark</t>
  </si>
  <si>
    <t>Gross Margin AI-native 2026E</t>
  </si>
  <si>
    <t>≈ 53%</t>
  </si>
  <si>
    <t>%</t>
  </si>
  <si>
    <t>ICONIQ, 2026 State of AI: The Builder's Economy (07/2026)</t>
  </si>
  <si>
    <t>Gross Margin cloud (middle 50%)</t>
  </si>
  <si>
    <t>60 – 80%</t>
  </si>
  <si>
    <t>Bessemer, Scaling to $100 Million (2024)</t>
  </si>
  <si>
    <t>Vertical AI — GM / model cost</t>
  </si>
  <si>
    <t>≈65% / ≈10% doanh thu</t>
  </si>
  <si>
    <t>Bessemer, State of the Cloud 2024</t>
  </si>
  <si>
    <t>CAC payback SMB / Mid / Enterprise</t>
  </si>
  <si>
    <t>12 / 18 / 24</t>
  </si>
  <si>
    <t>LTV : CAC</t>
  </si>
  <si>
    <t>≥ 3×</t>
  </si>
  <si>
    <t>lần</t>
  </si>
  <si>
    <t>David Skok, SaaS Metrics 2.0 (cập nhật 06/2026)</t>
  </si>
  <si>
    <t>Cost per opportunity 2026 (theo phân khúc)</t>
  </si>
  <si>
    <t>6.300 · 8.000 · 11.200</t>
  </si>
  <si>
    <t>$</t>
  </si>
  <si>
    <t>ICONIQ, State of GTM 2026 (tr.22)</t>
  </si>
  <si>
    <t>ACV sàn cho inside sales</t>
  </si>
  <si>
    <t>≈ 3.000</t>
  </si>
  <si>
    <t>$ / năm</t>
  </si>
  <si>
    <t>Tomasz Tunguz (2016) — có kèm giả định để tính lại</t>
  </si>
  <si>
    <t>Lưu ý: trang marketing của nhà cung cấp có thể hiển thị giá cũ hơn trang docs. Ưu tiên trang docs / pricing chính thức.</t>
  </si>
  <si>
    <t>Giá Claude Haiku 4.5 đối chiếu official model docs 08/10/2026; phần còn lại giữ benchmark template 26/08/2026, cần tái xác minh trước ký hợp đồng.</t>
  </si>
  <si>
    <t>https://platform.claude.com/docs/en/models/haiku-4-5/overview</t>
  </si>
  <si>
    <t>Intercom Fin $0.99/outcome và Zendesk $1.50 committed, $2 PAYG per automated resolution. Giá 08/10/2026; giá chưa phản ánh gói tổng / ưu đãi khác.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</si>
</sst>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\$#,##0.0000"/>
    <numFmt numFmtId="166" formatCode="#,##0.0"/>
    <numFmt numFmtId="167" formatCode="\$#,##0.00"/>
    <numFmt numFmtId="168" formatCode="\$#,##0"/>
    <numFmt numFmtId="169" formatCode="#,##0.0\×"/>
    <numFmt numFmtId="170" formatCode="#,##0&quot; ₫&quot;"/>
  </numFmts>
  <fonts count="11" x14ac:knownFonts="1">
    <font>
      <sz val="11"/>
      <color theme="1"/>
      <name val="Calibri"/>
    </font>
    <font>
      <b/>
      <sz val="14"/>
      <color rgb="FFFFFFFF"/>
      <name val="Arial"/>
    </font>
    <font>
      <sz val="11"/>
      <color theme="1"/>
      <name val="Calibri"/>
    </font>
    <font>
      <i/>
      <sz val="9"/>
      <color rgb="FF666666"/>
      <name val="Arial"/>
    </font>
    <font>
      <b/>
      <sz val="11"/>
      <color rgb="FF1F2937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8000"/>
      <name val="Arial"/>
    </font>
    <font>
      <b/>
      <sz val="10"/>
      <color theme="1"/>
      <name val="Arial"/>
    </font>
    <font>
      <b/>
      <sz val="11"/>
      <color rgb="FFC00000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2CC"/>
      </patternFill>
    </fill>
    <fill>
      <patternFill patternType="solid">
        <fgColor rgb="FFE8EAF6"/>
      </patternFill>
    </fill>
    <fill>
      <patternFill patternType="solid">
        <fgColor rgb="FFF2F2F2"/>
      </patternFill>
    </fill>
    <fill>
      <patternFill patternType="solid">
        <fgColor rgb="FFEDEDED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3" fillId="0" borderId="0" xfId="0" applyFont="1" applyAlignment="1"/>
    <xf numFmtId="0" fontId="4" fillId="0" borderId="0" xfId="0" applyFont="1" applyAlignment="1"/>
    <xf numFmtId="0" fontId="5" fillId="3" borderId="2" xfId="0" applyFont="1" applyFill="1" applyBorder="1" applyAlignment="1"/>
    <xf numFmtId="0" fontId="6" fillId="0" borderId="0" xfId="0" applyFont="1" applyAlignment="1"/>
    <xf numFmtId="0" fontId="4" fillId="4" borderId="1" xfId="0" applyFont="1" applyFill="1" applyBorder="1" applyAlignment="1"/>
    <xf numFmtId="0" fontId="6" fillId="5" borderId="2" xfId="0" applyFont="1" applyFill="1" applyBorder="1" applyAlignment="1"/>
    <xf numFmtId="0" fontId="7" fillId="0" borderId="2" xfId="0" applyFont="1" applyBorder="1" applyAlignment="1"/>
    <xf numFmtId="0" fontId="2" fillId="4" borderId="1" xfId="0" applyFont="1" applyFill="1" applyBorder="1" applyAlignment="1"/>
    <xf numFmtId="0" fontId="6" fillId="6" borderId="2" xfId="0" applyFont="1" applyFill="1" applyBorder="1" applyAlignment="1"/>
    <xf numFmtId="0" fontId="8" fillId="0" borderId="0" xfId="0" applyFont="1" applyAlignment="1"/>
    <xf numFmtId="0" fontId="5" fillId="3" borderId="2" xfId="0" applyFont="1" applyFill="1" applyBorder="1" applyAlignment="1">
      <alignment horizontal="center"/>
    </xf>
    <xf numFmtId="0" fontId="6" fillId="0" borderId="0" xfId="0" applyFont="1" applyAlignment="1"/>
    <xf numFmtId="3" fontId="5" fillId="3" borderId="2" xfId="0" applyNumberFormat="1" applyFont="1" applyFill="1" applyBorder="1" applyAlignment="1"/>
    <xf numFmtId="164" fontId="5" fillId="3" borderId="2" xfId="0" applyNumberFormat="1" applyFont="1" applyFill="1" applyBorder="1" applyAlignment="1"/>
    <xf numFmtId="0" fontId="3" fillId="0" borderId="0" xfId="0" applyFont="1" applyAlignment="1"/>
    <xf numFmtId="3" fontId="9" fillId="5" borderId="2" xfId="0" applyNumberFormat="1" applyFont="1" applyFill="1" applyBorder="1" applyAlignment="1"/>
    <xf numFmtId="3" fontId="6" fillId="5" borderId="2" xfId="0" applyNumberFormat="1" applyFont="1" applyFill="1" applyBorder="1" applyAlignment="1"/>
    <xf numFmtId="165" fontId="7" fillId="5" borderId="2" xfId="0" applyNumberFormat="1" applyFont="1" applyFill="1" applyBorder="1" applyAlignment="1"/>
    <xf numFmtId="166" fontId="5" fillId="3" borderId="2" xfId="0" applyNumberFormat="1" applyFont="1" applyFill="1" applyBorder="1" applyAlignment="1"/>
    <xf numFmtId="167" fontId="5" fillId="3" borderId="2" xfId="0" applyNumberFormat="1" applyFont="1" applyFill="1" applyBorder="1" applyAlignment="1"/>
    <xf numFmtId="165" fontId="9" fillId="5" borderId="2" xfId="0" applyNumberFormat="1" applyFont="1" applyFill="1" applyBorder="1" applyAlignment="1"/>
    <xf numFmtId="165" fontId="6" fillId="5" borderId="2" xfId="0" applyNumberFormat="1" applyFont="1" applyFill="1" applyBorder="1" applyAlignment="1"/>
    <xf numFmtId="168" fontId="5" fillId="3" borderId="2" xfId="0" applyNumberFormat="1" applyFont="1" applyFill="1" applyBorder="1" applyAlignment="1"/>
    <xf numFmtId="0" fontId="9" fillId="5" borderId="2" xfId="0" applyFont="1" applyFill="1" applyBorder="1" applyAlignment="1"/>
    <xf numFmtId="0" fontId="8" fillId="6" borderId="2" xfId="0" applyFont="1" applyFill="1" applyBorder="1" applyAlignment="1"/>
    <xf numFmtId="164" fontId="6" fillId="5" borderId="2" xfId="0" applyNumberFormat="1" applyFont="1" applyFill="1" applyBorder="1" applyAlignment="1"/>
    <xf numFmtId="165" fontId="5" fillId="3" borderId="2" xfId="0" applyNumberFormat="1" applyFont="1" applyFill="1" applyBorder="1" applyAlignment="1"/>
    <xf numFmtId="169" fontId="6" fillId="5" borderId="2" xfId="0" applyNumberFormat="1" applyFont="1" applyFill="1" applyBorder="1" applyAlignment="1"/>
    <xf numFmtId="164" fontId="9" fillId="5" borderId="2" xfId="0" applyNumberFormat="1" applyFont="1" applyFill="1" applyBorder="1" applyAlignment="1"/>
    <xf numFmtId="167" fontId="6" fillId="5" borderId="2" xfId="0" applyNumberFormat="1" applyFont="1" applyFill="1" applyBorder="1" applyAlignment="1"/>
    <xf numFmtId="167" fontId="9" fillId="5" borderId="2" xfId="0" applyNumberFormat="1" applyFont="1" applyFill="1" applyBorder="1" applyAlignment="1"/>
    <xf numFmtId="164" fontId="7" fillId="5" borderId="2" xfId="0" applyNumberFormat="1" applyFont="1" applyFill="1" applyBorder="1" applyAlignment="1"/>
    <xf numFmtId="168" fontId="9" fillId="5" borderId="2" xfId="0" applyNumberFormat="1" applyFont="1" applyFill="1" applyBorder="1" applyAlignment="1"/>
    <xf numFmtId="170" fontId="6" fillId="5" borderId="2" xfId="0" applyNumberFormat="1" applyFont="1" applyFill="1" applyBorder="1" applyAlignment="1"/>
    <xf numFmtId="168" fontId="6" fillId="5" borderId="2" xfId="0" applyNumberFormat="1" applyFont="1" applyFill="1" applyBorder="1" applyAlignment="1"/>
    <xf numFmtId="4" fontId="9" fillId="5" borderId="2" xfId="0" applyNumberFormat="1" applyFont="1" applyFill="1" applyBorder="1" applyAlignment="1"/>
    <xf numFmtId="169" fontId="9" fillId="5" borderId="2" xfId="0" applyNumberFormat="1" applyFont="1" applyFill="1" applyBorder="1" applyAlignment="1"/>
    <xf numFmtId="164" fontId="6" fillId="6" borderId="2" xfId="0" applyNumberFormat="1" applyFont="1" applyFill="1" applyBorder="1" applyAlignment="1"/>
    <xf numFmtId="0" fontId="5" fillId="3" borderId="2" xfId="0" applyFont="1" applyFill="1" applyBorder="1" applyAlignment="1">
      <alignment vertical="top" wrapText="1"/>
    </xf>
    <xf numFmtId="0" fontId="10" fillId="2" borderId="2" xfId="0" applyFont="1" applyFill="1" applyBorder="1" applyAlignment="1"/>
    <xf numFmtId="0" fontId="6" fillId="6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2270760</xdr:colOff>
      <xdr:row>44</xdr:row>
      <xdr:rowOff>60960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E4707471-7BC5-460D-9597-B8620CD4E2E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/>
  </sheetViews>
  <sheetFormatPr defaultColWidth="14.44140625" defaultRowHeight="14.4" x14ac:dyDescent="0.3"/>
  <cols>
    <col min="1" max="1" width="52" customWidth="1"/>
    <col min="2" max="2" width="62" customWidth="1"/>
    <col min="3" max="8" width="15" customWidth="1"/>
    <col min="9" max="26" width="8.6640625" customWidth="1"/>
  </cols>
  <sheetData>
    <row r="1" spans="1:8" ht="19.2" customHeight="1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1</v>
      </c>
    </row>
    <row r="4" spans="1:8" x14ac:dyDescent="0.3">
      <c r="A4" s="4" t="s">
        <v>2</v>
      </c>
    </row>
    <row r="5" spans="1:8" x14ac:dyDescent="0.3">
      <c r="A5" s="5" t="s">
        <v>3</v>
      </c>
      <c r="B5" s="6" t="s">
        <v>4</v>
      </c>
    </row>
    <row r="6" spans="1:8" x14ac:dyDescent="0.3">
      <c r="A6" s="8" t="s">
        <v>5</v>
      </c>
      <c r="B6" s="6" t="s">
        <v>6</v>
      </c>
    </row>
    <row r="7" spans="1:8" x14ac:dyDescent="0.3">
      <c r="A7" s="9" t="s">
        <v>7</v>
      </c>
      <c r="B7" s="6" t="s">
        <v>8</v>
      </c>
    </row>
    <row r="8" spans="1:8" x14ac:dyDescent="0.3">
      <c r="A8" s="11" t="s">
        <v>9</v>
      </c>
      <c r="B8" s="6" t="s">
        <v>10</v>
      </c>
    </row>
    <row r="10" spans="1:8" x14ac:dyDescent="0.3">
      <c r="A10" s="4" t="s">
        <v>11</v>
      </c>
    </row>
    <row r="11" spans="1:8" x14ac:dyDescent="0.3">
      <c r="A11" s="12" t="s">
        <v>12</v>
      </c>
      <c r="B11" s="6" t="s">
        <v>13</v>
      </c>
    </row>
    <row r="12" spans="1:8" x14ac:dyDescent="0.3">
      <c r="A12" s="12" t="s">
        <v>14</v>
      </c>
      <c r="B12" s="6" t="s">
        <v>15</v>
      </c>
    </row>
    <row r="13" spans="1:8" x14ac:dyDescent="0.3">
      <c r="A13" s="12" t="s">
        <v>16</v>
      </c>
      <c r="B13" s="6" t="s">
        <v>17</v>
      </c>
    </row>
    <row r="14" spans="1:8" x14ac:dyDescent="0.3">
      <c r="A14" s="12" t="s">
        <v>18</v>
      </c>
      <c r="B14" s="6" t="s">
        <v>19</v>
      </c>
    </row>
    <row r="15" spans="1:8" x14ac:dyDescent="0.3">
      <c r="A15" s="12" t="s">
        <v>20</v>
      </c>
      <c r="B15" s="6" t="s">
        <v>21</v>
      </c>
    </row>
    <row r="16" spans="1:8" x14ac:dyDescent="0.3">
      <c r="A16" s="12" t="s">
        <v>22</v>
      </c>
      <c r="B16" s="6" t="s">
        <v>23</v>
      </c>
    </row>
    <row r="18" spans="1:1" x14ac:dyDescent="0.3">
      <c r="A18" s="4" t="s">
        <v>24</v>
      </c>
    </row>
    <row r="19" spans="1:1" x14ac:dyDescent="0.3">
      <c r="A19" s="6" t="s">
        <v>25</v>
      </c>
    </row>
    <row r="20" spans="1:1" x14ac:dyDescent="0.3">
      <c r="A20" s="6" t="s">
        <v>26</v>
      </c>
    </row>
    <row r="21" spans="1:1" ht="12.6" customHeight="1" x14ac:dyDescent="0.3">
      <c r="A21" s="6" t="s">
        <v>27</v>
      </c>
    </row>
    <row r="22" spans="1:1" ht="12.6" customHeight="1" x14ac:dyDescent="0.3"/>
    <row r="23" spans="1:1" ht="12.6" customHeight="1" x14ac:dyDescent="0.3">
      <c r="A23" s="3" t="s">
        <v>28</v>
      </c>
    </row>
    <row r="24" spans="1:1" ht="12.6" customHeight="1" x14ac:dyDescent="0.3">
      <c r="A24" s="3" t="s">
        <v>29</v>
      </c>
    </row>
    <row r="25" spans="1:1" ht="12.6" customHeight="1" x14ac:dyDescent="0.3">
      <c r="A25" t="s">
        <v>30</v>
      </c>
    </row>
    <row r="26" spans="1:1" ht="12.6" customHeight="1" x14ac:dyDescent="0.3"/>
    <row r="27" spans="1:1" ht="12.6" customHeight="1" x14ac:dyDescent="0.3"/>
    <row r="28" spans="1:1" ht="12.6" customHeight="1" x14ac:dyDescent="0.3">
      <c r="A28" t="s">
        <v>31</v>
      </c>
    </row>
    <row r="29" spans="1:1" ht="12.6" customHeight="1" x14ac:dyDescent="0.3">
      <c r="A29" t="s">
        <v>32</v>
      </c>
    </row>
    <row r="30" spans="1:1" ht="12.6" customHeight="1" x14ac:dyDescent="0.3"/>
    <row r="31" spans="1:1" ht="12.6" customHeight="1" x14ac:dyDescent="0.3"/>
    <row r="32" spans="1:1" ht="12.6" customHeight="1" x14ac:dyDescent="0.3"/>
    <row r="33" ht="12.6" customHeight="1" x14ac:dyDescent="0.3"/>
    <row r="34" ht="12.6" customHeight="1" x14ac:dyDescent="0.3"/>
    <row r="35" ht="12.6" customHeight="1" x14ac:dyDescent="0.3"/>
    <row r="36" ht="12.6" customHeight="1" x14ac:dyDescent="0.3"/>
    <row r="37" ht="12.6" customHeight="1" x14ac:dyDescent="0.3"/>
    <row r="38" ht="12.6" customHeight="1" x14ac:dyDescent="0.3"/>
    <row r="39" ht="12.6" customHeight="1" x14ac:dyDescent="0.3"/>
    <row r="40" ht="12.6" customHeight="1" x14ac:dyDescent="0.3"/>
    <row r="41" ht="12.6" customHeight="1" x14ac:dyDescent="0.3"/>
    <row r="42" ht="12.6" customHeight="1" x14ac:dyDescent="0.3"/>
    <row r="43" ht="12.6" customHeight="1" x14ac:dyDescent="0.3"/>
    <row r="44" ht="12.6" customHeight="1" x14ac:dyDescent="0.3"/>
    <row r="45" ht="12.6" customHeight="1" x14ac:dyDescent="0.3"/>
    <row r="46" ht="12.6" customHeight="1" x14ac:dyDescent="0.3"/>
    <row r="47" ht="12.6" customHeight="1" x14ac:dyDescent="0.3"/>
    <row r="48" ht="12.6" customHeight="1" x14ac:dyDescent="0.3"/>
    <row r="49" ht="12.6" customHeight="1" x14ac:dyDescent="0.3"/>
    <row r="50" ht="12.6" customHeight="1" x14ac:dyDescent="0.3"/>
    <row r="51" ht="12.6" customHeight="1" x14ac:dyDescent="0.3"/>
    <row r="52" ht="12.6" customHeight="1" x14ac:dyDescent="0.3"/>
    <row r="53" ht="12.6" customHeight="1" x14ac:dyDescent="0.3"/>
    <row r="54" ht="12.6" customHeight="1" x14ac:dyDescent="0.3"/>
    <row r="55" ht="12.6" customHeight="1" x14ac:dyDescent="0.3"/>
    <row r="56" ht="12.6" customHeight="1" x14ac:dyDescent="0.3"/>
    <row r="57" ht="12.6" customHeight="1" x14ac:dyDescent="0.3"/>
    <row r="58" ht="12.6" customHeight="1" x14ac:dyDescent="0.3"/>
    <row r="59" ht="12.6" customHeight="1" x14ac:dyDescent="0.3"/>
    <row r="60" ht="12.6" customHeight="1" x14ac:dyDescent="0.3"/>
    <row r="61" ht="12.6" customHeight="1" x14ac:dyDescent="0.3"/>
    <row r="62" ht="12.6" customHeight="1" x14ac:dyDescent="0.3"/>
    <row r="63" ht="12.6" customHeight="1" x14ac:dyDescent="0.3"/>
    <row r="64" ht="12.6" customHeight="1" x14ac:dyDescent="0.3"/>
    <row r="65" ht="12.6" customHeight="1" x14ac:dyDescent="0.3"/>
    <row r="66" ht="12.6" customHeight="1" x14ac:dyDescent="0.3"/>
    <row r="67" ht="12.6" customHeight="1" x14ac:dyDescent="0.3"/>
    <row r="68" ht="12.6" customHeight="1" x14ac:dyDescent="0.3"/>
    <row r="69" ht="12.6" customHeight="1" x14ac:dyDescent="0.3"/>
    <row r="70" ht="12.6" customHeight="1" x14ac:dyDescent="0.3"/>
    <row r="71" ht="12.6" customHeight="1" x14ac:dyDescent="0.3"/>
    <row r="72" ht="12.6" customHeight="1" x14ac:dyDescent="0.3"/>
    <row r="73" ht="12.6" customHeight="1" x14ac:dyDescent="0.3"/>
    <row r="74" ht="12.6" customHeight="1" x14ac:dyDescent="0.3"/>
    <row r="75" ht="12.6" customHeight="1" x14ac:dyDescent="0.3"/>
    <row r="76" ht="12.6" customHeight="1" x14ac:dyDescent="0.3"/>
    <row r="77" ht="12.6" customHeight="1" x14ac:dyDescent="0.3"/>
    <row r="78" ht="12.6" customHeight="1" x14ac:dyDescent="0.3"/>
    <row r="79" ht="12.6" customHeight="1" x14ac:dyDescent="0.3"/>
    <row r="80" ht="12.6" customHeight="1" x14ac:dyDescent="0.3"/>
    <row r="81" ht="12.6" customHeight="1" x14ac:dyDescent="0.3"/>
    <row r="82" ht="12.6" customHeight="1" x14ac:dyDescent="0.3"/>
    <row r="83" ht="12.6" customHeight="1" x14ac:dyDescent="0.3"/>
    <row r="84" ht="12.6" customHeight="1" x14ac:dyDescent="0.3"/>
    <row r="85" ht="12.6" customHeight="1" x14ac:dyDescent="0.3"/>
    <row r="86" ht="12.6" customHeight="1" x14ac:dyDescent="0.3"/>
    <row r="87" ht="12.6" customHeight="1" x14ac:dyDescent="0.3"/>
    <row r="88" ht="12.6" customHeight="1" x14ac:dyDescent="0.3"/>
    <row r="89" ht="12.6" customHeight="1" x14ac:dyDescent="0.3"/>
    <row r="90" ht="12.6" customHeight="1" x14ac:dyDescent="0.3"/>
    <row r="91" ht="12.6" customHeight="1" x14ac:dyDescent="0.3"/>
    <row r="92" ht="12.6" customHeight="1" x14ac:dyDescent="0.3"/>
    <row r="93" ht="12.6" customHeight="1" x14ac:dyDescent="0.3"/>
    <row r="94" ht="12.6" customHeight="1" x14ac:dyDescent="0.3"/>
    <row r="95" ht="12.6" customHeight="1" x14ac:dyDescent="0.3"/>
    <row r="96" ht="12.6" customHeight="1" x14ac:dyDescent="0.3"/>
    <row r="97" ht="12.6" customHeight="1" x14ac:dyDescent="0.3"/>
    <row r="98" ht="12.6" customHeight="1" x14ac:dyDescent="0.3"/>
    <row r="99" ht="12.6" customHeight="1" x14ac:dyDescent="0.3"/>
    <row r="100" ht="12.6" customHeight="1" x14ac:dyDescent="0.3"/>
    <row r="101" ht="12.6" customHeight="1" x14ac:dyDescent="0.3"/>
    <row r="102" ht="12.6" customHeight="1" x14ac:dyDescent="0.3"/>
    <row r="103" ht="12.6" customHeight="1" x14ac:dyDescent="0.3"/>
    <row r="104" ht="12.6" customHeight="1" x14ac:dyDescent="0.3"/>
    <row r="105" ht="12.6" customHeight="1" x14ac:dyDescent="0.3"/>
    <row r="106" ht="12.6" customHeight="1" x14ac:dyDescent="0.3"/>
    <row r="107" ht="12.6" customHeight="1" x14ac:dyDescent="0.3"/>
    <row r="108" ht="12.6" customHeight="1" x14ac:dyDescent="0.3"/>
    <row r="109" ht="12.6" customHeight="1" x14ac:dyDescent="0.3"/>
    <row r="110" ht="12.6" customHeight="1" x14ac:dyDescent="0.3"/>
    <row r="111" ht="12.6" customHeight="1" x14ac:dyDescent="0.3"/>
    <row r="112" ht="12.6" customHeight="1" x14ac:dyDescent="0.3"/>
    <row r="113" ht="12.6" customHeight="1" x14ac:dyDescent="0.3"/>
    <row r="114" ht="12.6" customHeight="1" x14ac:dyDescent="0.3"/>
    <row r="115" ht="12.6" customHeight="1" x14ac:dyDescent="0.3"/>
    <row r="116" ht="12.6" customHeight="1" x14ac:dyDescent="0.3"/>
    <row r="117" ht="12.6" customHeight="1" x14ac:dyDescent="0.3"/>
    <row r="118" ht="12.6" customHeight="1" x14ac:dyDescent="0.3"/>
    <row r="119" ht="12.6" customHeight="1" x14ac:dyDescent="0.3"/>
    <row r="120" ht="12.6" customHeight="1" x14ac:dyDescent="0.3"/>
    <row r="121" ht="12.6" customHeight="1" x14ac:dyDescent="0.3"/>
    <row r="122" ht="12.6" customHeight="1" x14ac:dyDescent="0.3"/>
    <row r="123" ht="12.6" customHeight="1" x14ac:dyDescent="0.3"/>
    <row r="124" ht="12.6" customHeight="1" x14ac:dyDescent="0.3"/>
    <row r="125" ht="12.6" customHeight="1" x14ac:dyDescent="0.3"/>
    <row r="126" ht="12.6" customHeight="1" x14ac:dyDescent="0.3"/>
    <row r="127" ht="12.6" customHeight="1" x14ac:dyDescent="0.3"/>
    <row r="128" ht="12.6" customHeight="1" x14ac:dyDescent="0.3"/>
    <row r="129" ht="12.6" customHeight="1" x14ac:dyDescent="0.3"/>
    <row r="130" ht="12.6" customHeight="1" x14ac:dyDescent="0.3"/>
    <row r="131" ht="12.6" customHeight="1" x14ac:dyDescent="0.3"/>
    <row r="132" ht="12.6" customHeight="1" x14ac:dyDescent="0.3"/>
    <row r="133" ht="12.6" customHeight="1" x14ac:dyDescent="0.3"/>
    <row r="134" ht="12.6" customHeight="1" x14ac:dyDescent="0.3"/>
    <row r="135" ht="12.6" customHeight="1" x14ac:dyDescent="0.3"/>
    <row r="136" ht="12.6" customHeight="1" x14ac:dyDescent="0.3"/>
    <row r="137" ht="12.6" customHeight="1" x14ac:dyDescent="0.3"/>
    <row r="138" ht="12.6" customHeight="1" x14ac:dyDescent="0.3"/>
    <row r="139" ht="12.6" customHeight="1" x14ac:dyDescent="0.3"/>
    <row r="140" ht="12.6" customHeight="1" x14ac:dyDescent="0.3"/>
    <row r="141" ht="12.6" customHeight="1" x14ac:dyDescent="0.3"/>
    <row r="142" ht="12.6" customHeight="1" x14ac:dyDescent="0.3"/>
    <row r="143" ht="12.6" customHeight="1" x14ac:dyDescent="0.3"/>
    <row r="144" ht="12.6" customHeight="1" x14ac:dyDescent="0.3"/>
    <row r="145" ht="12.6" customHeight="1" x14ac:dyDescent="0.3"/>
    <row r="146" ht="12.6" customHeight="1" x14ac:dyDescent="0.3"/>
    <row r="147" ht="12.6" customHeight="1" x14ac:dyDescent="0.3"/>
    <row r="148" ht="12.6" customHeight="1" x14ac:dyDescent="0.3"/>
    <row r="149" ht="12.6" customHeight="1" x14ac:dyDescent="0.3"/>
    <row r="150" ht="12.6" customHeight="1" x14ac:dyDescent="0.3"/>
    <row r="151" ht="12.6" customHeight="1" x14ac:dyDescent="0.3"/>
    <row r="152" ht="12.6" customHeight="1" x14ac:dyDescent="0.3"/>
    <row r="153" ht="12.6" customHeight="1" x14ac:dyDescent="0.3"/>
    <row r="154" ht="12.6" customHeight="1" x14ac:dyDescent="0.3"/>
    <row r="155" ht="12.6" customHeight="1" x14ac:dyDescent="0.3"/>
    <row r="156" ht="12.6" customHeight="1" x14ac:dyDescent="0.3"/>
    <row r="157" ht="12.6" customHeight="1" x14ac:dyDescent="0.3"/>
    <row r="158" ht="12.6" customHeight="1" x14ac:dyDescent="0.3"/>
    <row r="159" ht="12.6" customHeight="1" x14ac:dyDescent="0.3"/>
    <row r="160" ht="12.6" customHeight="1" x14ac:dyDescent="0.3"/>
    <row r="161" ht="12.6" customHeight="1" x14ac:dyDescent="0.3"/>
    <row r="162" ht="12.6" customHeight="1" x14ac:dyDescent="0.3"/>
    <row r="163" ht="12.6" customHeight="1" x14ac:dyDescent="0.3"/>
    <row r="164" ht="12.6" customHeight="1" x14ac:dyDescent="0.3"/>
    <row r="165" ht="12.6" customHeight="1" x14ac:dyDescent="0.3"/>
    <row r="166" ht="12.6" customHeight="1" x14ac:dyDescent="0.3"/>
    <row r="167" ht="12.6" customHeight="1" x14ac:dyDescent="0.3"/>
    <row r="168" ht="12.6" customHeight="1" x14ac:dyDescent="0.3"/>
    <row r="169" ht="12.6" customHeight="1" x14ac:dyDescent="0.3"/>
    <row r="170" ht="12.6" customHeight="1" x14ac:dyDescent="0.3"/>
    <row r="171" ht="12.6" customHeight="1" x14ac:dyDescent="0.3"/>
    <row r="172" ht="12.6" customHeight="1" x14ac:dyDescent="0.3"/>
    <row r="173" ht="12.6" customHeight="1" x14ac:dyDescent="0.3"/>
    <row r="174" ht="12.6" customHeight="1" x14ac:dyDescent="0.3"/>
    <row r="175" ht="12.6" customHeight="1" x14ac:dyDescent="0.3"/>
    <row r="176" ht="12.6" customHeight="1" x14ac:dyDescent="0.3"/>
    <row r="177" ht="12.6" customHeight="1" x14ac:dyDescent="0.3"/>
    <row r="178" ht="12.6" customHeight="1" x14ac:dyDescent="0.3"/>
    <row r="179" ht="12.6" customHeight="1" x14ac:dyDescent="0.3"/>
    <row r="180" ht="12.6" customHeight="1" x14ac:dyDescent="0.3"/>
    <row r="181" ht="12.6" customHeight="1" x14ac:dyDescent="0.3"/>
    <row r="182" ht="12.6" customHeight="1" x14ac:dyDescent="0.3"/>
    <row r="183" ht="12.6" customHeight="1" x14ac:dyDescent="0.3"/>
    <row r="184" ht="12.6" customHeight="1" x14ac:dyDescent="0.3"/>
    <row r="185" ht="12.6" customHeight="1" x14ac:dyDescent="0.3"/>
    <row r="186" ht="12.6" customHeight="1" x14ac:dyDescent="0.3"/>
    <row r="187" ht="12.6" customHeight="1" x14ac:dyDescent="0.3"/>
    <row r="188" ht="12.6" customHeight="1" x14ac:dyDescent="0.3"/>
    <row r="189" ht="12.6" customHeight="1" x14ac:dyDescent="0.3"/>
    <row r="190" ht="12.6" customHeight="1" x14ac:dyDescent="0.3"/>
    <row r="191" ht="12.6" customHeight="1" x14ac:dyDescent="0.3"/>
    <row r="192" ht="12.6" customHeight="1" x14ac:dyDescent="0.3"/>
    <row r="193" ht="12.6" customHeight="1" x14ac:dyDescent="0.3"/>
    <row r="194" ht="12.6" customHeight="1" x14ac:dyDescent="0.3"/>
    <row r="195" ht="12.6" customHeight="1" x14ac:dyDescent="0.3"/>
    <row r="196" ht="12.6" customHeight="1" x14ac:dyDescent="0.3"/>
    <row r="197" ht="12.6" customHeight="1" x14ac:dyDescent="0.3"/>
    <row r="198" ht="12.6" customHeight="1" x14ac:dyDescent="0.3"/>
    <row r="199" ht="12.6" customHeight="1" x14ac:dyDescent="0.3"/>
    <row r="200" ht="12.6" customHeight="1" x14ac:dyDescent="0.3"/>
    <row r="201" ht="12.6" customHeight="1" x14ac:dyDescent="0.3"/>
    <row r="202" ht="12.6" customHeight="1" x14ac:dyDescent="0.3"/>
    <row r="203" ht="12.6" customHeight="1" x14ac:dyDescent="0.3"/>
    <row r="204" ht="12.6" customHeight="1" x14ac:dyDescent="0.3"/>
    <row r="205" ht="12.6" customHeight="1" x14ac:dyDescent="0.3"/>
    <row r="206" ht="12.6" customHeight="1" x14ac:dyDescent="0.3"/>
    <row r="207" ht="12.6" customHeight="1" x14ac:dyDescent="0.3"/>
    <row r="208" ht="12.6" customHeight="1" x14ac:dyDescent="0.3"/>
    <row r="209" ht="12.6" customHeight="1" x14ac:dyDescent="0.3"/>
    <row r="210" ht="12.6" customHeight="1" x14ac:dyDescent="0.3"/>
    <row r="211" ht="12.6" customHeight="1" x14ac:dyDescent="0.3"/>
    <row r="212" ht="12.6" customHeight="1" x14ac:dyDescent="0.3"/>
    <row r="213" ht="12.6" customHeight="1" x14ac:dyDescent="0.3"/>
    <row r="214" ht="12.6" customHeight="1" x14ac:dyDescent="0.3"/>
    <row r="215" ht="12.6" customHeight="1" x14ac:dyDescent="0.3"/>
    <row r="216" ht="12.6" customHeight="1" x14ac:dyDescent="0.3"/>
    <row r="217" ht="12.6" customHeight="1" x14ac:dyDescent="0.3"/>
    <row r="218" ht="12.6" customHeight="1" x14ac:dyDescent="0.3"/>
    <row r="219" ht="12.6" customHeight="1" x14ac:dyDescent="0.3"/>
    <row r="220" ht="12.6" customHeight="1" x14ac:dyDescent="0.3"/>
    <row r="221" ht="12.6" customHeight="1" x14ac:dyDescent="0.3"/>
    <row r="222" ht="12.6" customHeight="1" x14ac:dyDescent="0.3"/>
    <row r="223" ht="12.6" customHeight="1" x14ac:dyDescent="0.3"/>
    <row r="224" ht="12.6" customHeight="1" x14ac:dyDescent="0.3"/>
    <row r="225" ht="12.6" customHeight="1" x14ac:dyDescent="0.3"/>
    <row r="226" ht="12.6" customHeight="1" x14ac:dyDescent="0.3"/>
    <row r="227" ht="12.6" customHeight="1" x14ac:dyDescent="0.3"/>
    <row r="228" ht="12.6" customHeight="1" x14ac:dyDescent="0.3"/>
    <row r="229" ht="12.6" customHeight="1" x14ac:dyDescent="0.3"/>
    <row r="230" ht="12.6" customHeight="1" x14ac:dyDescent="0.3"/>
    <row r="231" ht="12.6" customHeight="1" x14ac:dyDescent="0.3"/>
    <row r="232" ht="12.6" customHeight="1" x14ac:dyDescent="0.3"/>
    <row r="233" ht="12.6" customHeight="1" x14ac:dyDescent="0.3"/>
    <row r="234" ht="12.6" customHeight="1" x14ac:dyDescent="0.3"/>
    <row r="235" ht="12.6" customHeight="1" x14ac:dyDescent="0.3"/>
    <row r="236" ht="12.6" customHeight="1" x14ac:dyDescent="0.3"/>
    <row r="237" ht="12.6" customHeight="1" x14ac:dyDescent="0.3"/>
    <row r="238" ht="12.6" customHeight="1" x14ac:dyDescent="0.3"/>
    <row r="239" ht="12.6" customHeight="1" x14ac:dyDescent="0.3"/>
    <row r="240" ht="12.6" customHeight="1" x14ac:dyDescent="0.3"/>
    <row r="241" ht="12.6" customHeight="1" x14ac:dyDescent="0.3"/>
    <row r="242" ht="12.6" customHeight="1" x14ac:dyDescent="0.3"/>
    <row r="243" ht="12.6" customHeight="1" x14ac:dyDescent="0.3"/>
    <row r="244" ht="12.6" customHeight="1" x14ac:dyDescent="0.3"/>
    <row r="245" ht="12.6" customHeight="1" x14ac:dyDescent="0.3"/>
    <row r="246" ht="12.6" customHeight="1" x14ac:dyDescent="0.3"/>
    <row r="247" ht="12.6" customHeight="1" x14ac:dyDescent="0.3"/>
    <row r="248" ht="12.6" customHeight="1" x14ac:dyDescent="0.3"/>
    <row r="249" ht="12.6" customHeight="1" x14ac:dyDescent="0.3"/>
    <row r="250" ht="12.6" customHeight="1" x14ac:dyDescent="0.3"/>
    <row r="251" ht="12.6" customHeight="1" x14ac:dyDescent="0.3"/>
    <row r="252" ht="12.6" customHeight="1" x14ac:dyDescent="0.3"/>
    <row r="253" ht="12.6" customHeight="1" x14ac:dyDescent="0.3"/>
    <row r="254" ht="12.6" customHeight="1" x14ac:dyDescent="0.3"/>
    <row r="255" ht="12.6" customHeight="1" x14ac:dyDescent="0.3"/>
    <row r="256" ht="12.6" customHeight="1" x14ac:dyDescent="0.3"/>
    <row r="257" ht="12.6" customHeight="1" x14ac:dyDescent="0.3"/>
    <row r="258" ht="12.6" customHeight="1" x14ac:dyDescent="0.3"/>
    <row r="259" ht="12.6" customHeight="1" x14ac:dyDescent="0.3"/>
    <row r="260" ht="12.6" customHeight="1" x14ac:dyDescent="0.3"/>
    <row r="261" ht="12.6" customHeight="1" x14ac:dyDescent="0.3"/>
    <row r="262" ht="12.6" customHeight="1" x14ac:dyDescent="0.3"/>
    <row r="263" ht="12.6" customHeight="1" x14ac:dyDescent="0.3"/>
    <row r="264" ht="12.6" customHeight="1" x14ac:dyDescent="0.3"/>
    <row r="265" ht="12.6" customHeight="1" x14ac:dyDescent="0.3"/>
    <row r="266" ht="12.6" customHeight="1" x14ac:dyDescent="0.3"/>
    <row r="267" ht="12.6" customHeight="1" x14ac:dyDescent="0.3"/>
    <row r="268" ht="12.6" customHeight="1" x14ac:dyDescent="0.3"/>
    <row r="269" ht="12.6" customHeight="1" x14ac:dyDescent="0.3"/>
    <row r="270" ht="12.6" customHeight="1" x14ac:dyDescent="0.3"/>
    <row r="271" ht="12.6" customHeight="1" x14ac:dyDescent="0.3"/>
    <row r="272" ht="12.6" customHeight="1" x14ac:dyDescent="0.3"/>
    <row r="273" ht="12.6" customHeight="1" x14ac:dyDescent="0.3"/>
    <row r="274" ht="12.6" customHeight="1" x14ac:dyDescent="0.3"/>
    <row r="275" ht="12.6" customHeight="1" x14ac:dyDescent="0.3"/>
    <row r="276" ht="12.6" customHeight="1" x14ac:dyDescent="0.3"/>
    <row r="277" ht="12.6" customHeight="1" x14ac:dyDescent="0.3"/>
    <row r="278" ht="12.6" customHeight="1" x14ac:dyDescent="0.3"/>
    <row r="279" ht="12.6" customHeight="1" x14ac:dyDescent="0.3"/>
    <row r="280" ht="12.6" customHeight="1" x14ac:dyDescent="0.3"/>
    <row r="281" ht="12.6" customHeight="1" x14ac:dyDescent="0.3"/>
    <row r="282" ht="12.6" customHeight="1" x14ac:dyDescent="0.3"/>
    <row r="283" ht="12.6" customHeight="1" x14ac:dyDescent="0.3"/>
    <row r="284" ht="12.6" customHeight="1" x14ac:dyDescent="0.3"/>
    <row r="285" ht="12.6" customHeight="1" x14ac:dyDescent="0.3"/>
    <row r="286" ht="12.6" customHeight="1" x14ac:dyDescent="0.3"/>
    <row r="287" ht="12.6" customHeight="1" x14ac:dyDescent="0.3"/>
    <row r="288" ht="12.6" customHeight="1" x14ac:dyDescent="0.3"/>
    <row r="289" ht="12.6" customHeight="1" x14ac:dyDescent="0.3"/>
    <row r="290" ht="12.6" customHeight="1" x14ac:dyDescent="0.3"/>
    <row r="291" ht="12.6" customHeight="1" x14ac:dyDescent="0.3"/>
    <row r="292" ht="12.6" customHeight="1" x14ac:dyDescent="0.3"/>
    <row r="293" ht="12.6" customHeight="1" x14ac:dyDescent="0.3"/>
    <row r="294" ht="12.6" customHeight="1" x14ac:dyDescent="0.3"/>
    <row r="295" ht="12.6" customHeight="1" x14ac:dyDescent="0.3"/>
    <row r="296" ht="12.6" customHeight="1" x14ac:dyDescent="0.3"/>
    <row r="297" ht="12.6" customHeight="1" x14ac:dyDescent="0.3"/>
    <row r="298" ht="12.6" customHeight="1" x14ac:dyDescent="0.3"/>
    <row r="299" ht="12.6" customHeight="1" x14ac:dyDescent="0.3"/>
    <row r="300" ht="12.6" customHeight="1" x14ac:dyDescent="0.3"/>
    <row r="301" ht="12.6" customHeight="1" x14ac:dyDescent="0.3"/>
    <row r="302" ht="12.6" customHeight="1" x14ac:dyDescent="0.3"/>
    <row r="303" ht="12.6" customHeight="1" x14ac:dyDescent="0.3"/>
    <row r="304" ht="12.6" customHeight="1" x14ac:dyDescent="0.3"/>
    <row r="305" ht="12.6" customHeight="1" x14ac:dyDescent="0.3"/>
    <row r="306" ht="12.6" customHeight="1" x14ac:dyDescent="0.3"/>
    <row r="307" ht="12.6" customHeight="1" x14ac:dyDescent="0.3"/>
    <row r="308" ht="12.6" customHeight="1" x14ac:dyDescent="0.3"/>
    <row r="309" ht="12.6" customHeight="1" x14ac:dyDescent="0.3"/>
    <row r="310" ht="12.6" customHeight="1" x14ac:dyDescent="0.3"/>
    <row r="311" ht="12.6" customHeight="1" x14ac:dyDescent="0.3"/>
    <row r="312" ht="12.6" customHeight="1" x14ac:dyDescent="0.3"/>
    <row r="313" ht="12.6" customHeight="1" x14ac:dyDescent="0.3"/>
    <row r="314" ht="12.6" customHeight="1" x14ac:dyDescent="0.3"/>
    <row r="315" ht="12.6" customHeight="1" x14ac:dyDescent="0.3"/>
    <row r="316" ht="12.6" customHeight="1" x14ac:dyDescent="0.3"/>
    <row r="317" ht="12.6" customHeight="1" x14ac:dyDescent="0.3"/>
    <row r="318" ht="12.6" customHeight="1" x14ac:dyDescent="0.3"/>
    <row r="319" ht="12.6" customHeight="1" x14ac:dyDescent="0.3"/>
    <row r="320" ht="12.6" customHeight="1" x14ac:dyDescent="0.3"/>
    <row r="321" ht="12.6" customHeight="1" x14ac:dyDescent="0.3"/>
    <row r="322" ht="12.6" customHeight="1" x14ac:dyDescent="0.3"/>
    <row r="323" ht="12.6" customHeight="1" x14ac:dyDescent="0.3"/>
    <row r="324" ht="12.6" customHeight="1" x14ac:dyDescent="0.3"/>
    <row r="325" ht="12.6" customHeight="1" x14ac:dyDescent="0.3"/>
    <row r="326" ht="12.6" customHeight="1" x14ac:dyDescent="0.3"/>
    <row r="327" ht="12.6" customHeight="1" x14ac:dyDescent="0.3"/>
    <row r="328" ht="12.6" customHeight="1" x14ac:dyDescent="0.3"/>
    <row r="329" ht="12.6" customHeight="1" x14ac:dyDescent="0.3"/>
    <row r="330" ht="12.6" customHeight="1" x14ac:dyDescent="0.3"/>
    <row r="331" ht="12.6" customHeight="1" x14ac:dyDescent="0.3"/>
    <row r="332" ht="12.6" customHeight="1" x14ac:dyDescent="0.3"/>
    <row r="333" ht="12.6" customHeight="1" x14ac:dyDescent="0.3"/>
    <row r="334" ht="12.6" customHeight="1" x14ac:dyDescent="0.3"/>
    <row r="335" ht="12.6" customHeight="1" x14ac:dyDescent="0.3"/>
    <row r="336" ht="12.6" customHeight="1" x14ac:dyDescent="0.3"/>
    <row r="337" ht="12.6" customHeight="1" x14ac:dyDescent="0.3"/>
    <row r="338" ht="12.6" customHeight="1" x14ac:dyDescent="0.3"/>
    <row r="339" ht="12.6" customHeight="1" x14ac:dyDescent="0.3"/>
    <row r="340" ht="12.6" customHeight="1" x14ac:dyDescent="0.3"/>
    <row r="341" ht="12.6" customHeight="1" x14ac:dyDescent="0.3"/>
    <row r="342" ht="12.6" customHeight="1" x14ac:dyDescent="0.3"/>
    <row r="343" ht="12.6" customHeight="1" x14ac:dyDescent="0.3"/>
    <row r="344" ht="12.6" customHeight="1" x14ac:dyDescent="0.3"/>
    <row r="345" ht="12.6" customHeight="1" x14ac:dyDescent="0.3"/>
    <row r="346" ht="12.6" customHeight="1" x14ac:dyDescent="0.3"/>
    <row r="347" ht="12.6" customHeight="1" x14ac:dyDescent="0.3"/>
    <row r="348" ht="12.6" customHeight="1" x14ac:dyDescent="0.3"/>
    <row r="349" ht="12.6" customHeight="1" x14ac:dyDescent="0.3"/>
    <row r="350" ht="12.6" customHeight="1" x14ac:dyDescent="0.3"/>
    <row r="351" ht="12.6" customHeight="1" x14ac:dyDescent="0.3"/>
    <row r="352" ht="12.6" customHeight="1" x14ac:dyDescent="0.3"/>
    <row r="353" ht="12.6" customHeight="1" x14ac:dyDescent="0.3"/>
    <row r="354" ht="12.6" customHeight="1" x14ac:dyDescent="0.3"/>
    <row r="355" ht="12.6" customHeight="1" x14ac:dyDescent="0.3"/>
    <row r="356" ht="12.6" customHeight="1" x14ac:dyDescent="0.3"/>
    <row r="357" ht="12.6" customHeight="1" x14ac:dyDescent="0.3"/>
    <row r="358" ht="12.6" customHeight="1" x14ac:dyDescent="0.3"/>
    <row r="359" ht="12.6" customHeight="1" x14ac:dyDescent="0.3"/>
    <row r="360" ht="12.6" customHeight="1" x14ac:dyDescent="0.3"/>
    <row r="361" ht="12.6" customHeight="1" x14ac:dyDescent="0.3"/>
    <row r="362" ht="12.6" customHeight="1" x14ac:dyDescent="0.3"/>
    <row r="363" ht="12.6" customHeight="1" x14ac:dyDescent="0.3"/>
    <row r="364" ht="12.6" customHeight="1" x14ac:dyDescent="0.3"/>
    <row r="365" ht="12.6" customHeight="1" x14ac:dyDescent="0.3"/>
    <row r="366" ht="12.6" customHeight="1" x14ac:dyDescent="0.3"/>
    <row r="367" ht="12.6" customHeight="1" x14ac:dyDescent="0.3"/>
    <row r="368" ht="12.6" customHeight="1" x14ac:dyDescent="0.3"/>
    <row r="369" ht="12.6" customHeight="1" x14ac:dyDescent="0.3"/>
    <row r="370" ht="12.6" customHeight="1" x14ac:dyDescent="0.3"/>
    <row r="371" ht="12.6" customHeight="1" x14ac:dyDescent="0.3"/>
    <row r="372" ht="12.6" customHeight="1" x14ac:dyDescent="0.3"/>
    <row r="373" ht="12.6" customHeight="1" x14ac:dyDescent="0.3"/>
    <row r="374" ht="12.6" customHeight="1" x14ac:dyDescent="0.3"/>
    <row r="375" ht="12.6" customHeight="1" x14ac:dyDescent="0.3"/>
    <row r="376" ht="12.6" customHeight="1" x14ac:dyDescent="0.3"/>
    <row r="377" ht="12.6" customHeight="1" x14ac:dyDescent="0.3"/>
    <row r="378" ht="12.6" customHeight="1" x14ac:dyDescent="0.3"/>
    <row r="379" ht="12.6" customHeight="1" x14ac:dyDescent="0.3"/>
    <row r="380" ht="12.6" customHeight="1" x14ac:dyDescent="0.3"/>
    <row r="381" ht="12.6" customHeight="1" x14ac:dyDescent="0.3"/>
    <row r="382" ht="12.6" customHeight="1" x14ac:dyDescent="0.3"/>
    <row r="383" ht="12.6" customHeight="1" x14ac:dyDescent="0.3"/>
    <row r="384" ht="12.6" customHeight="1" x14ac:dyDescent="0.3"/>
    <row r="385" ht="12.6" customHeight="1" x14ac:dyDescent="0.3"/>
    <row r="386" ht="12.6" customHeight="1" x14ac:dyDescent="0.3"/>
    <row r="387" ht="12.6" customHeight="1" x14ac:dyDescent="0.3"/>
    <row r="388" ht="12.6" customHeight="1" x14ac:dyDescent="0.3"/>
    <row r="389" ht="12.6" customHeight="1" x14ac:dyDescent="0.3"/>
    <row r="390" ht="12.6" customHeight="1" x14ac:dyDescent="0.3"/>
    <row r="391" ht="12.6" customHeight="1" x14ac:dyDescent="0.3"/>
    <row r="392" ht="12.6" customHeight="1" x14ac:dyDescent="0.3"/>
    <row r="393" ht="12.6" customHeight="1" x14ac:dyDescent="0.3"/>
    <row r="394" ht="12.6" customHeight="1" x14ac:dyDescent="0.3"/>
    <row r="395" ht="12.6" customHeight="1" x14ac:dyDescent="0.3"/>
    <row r="396" ht="12.6" customHeight="1" x14ac:dyDescent="0.3"/>
    <row r="397" ht="12.6" customHeight="1" x14ac:dyDescent="0.3"/>
    <row r="398" ht="12.6" customHeight="1" x14ac:dyDescent="0.3"/>
    <row r="399" ht="12.6" customHeight="1" x14ac:dyDescent="0.3"/>
    <row r="400" ht="12.6" customHeight="1" x14ac:dyDescent="0.3"/>
    <row r="401" ht="12.6" customHeight="1" x14ac:dyDescent="0.3"/>
    <row r="402" ht="12.6" customHeight="1" x14ac:dyDescent="0.3"/>
    <row r="403" ht="12.6" customHeight="1" x14ac:dyDescent="0.3"/>
    <row r="404" ht="12.6" customHeight="1" x14ac:dyDescent="0.3"/>
    <row r="405" ht="12.6" customHeight="1" x14ac:dyDescent="0.3"/>
    <row r="406" ht="12.6" customHeight="1" x14ac:dyDescent="0.3"/>
    <row r="407" ht="12.6" customHeight="1" x14ac:dyDescent="0.3"/>
    <row r="408" ht="12.6" customHeight="1" x14ac:dyDescent="0.3"/>
    <row r="409" ht="12.6" customHeight="1" x14ac:dyDescent="0.3"/>
    <row r="410" ht="12.6" customHeight="1" x14ac:dyDescent="0.3"/>
    <row r="411" ht="12.6" customHeight="1" x14ac:dyDescent="0.3"/>
    <row r="412" ht="12.6" customHeight="1" x14ac:dyDescent="0.3"/>
    <row r="413" ht="12.6" customHeight="1" x14ac:dyDescent="0.3"/>
    <row r="414" ht="12.6" customHeight="1" x14ac:dyDescent="0.3"/>
    <row r="415" ht="12.6" customHeight="1" x14ac:dyDescent="0.3"/>
    <row r="416" ht="12.6" customHeight="1" x14ac:dyDescent="0.3"/>
    <row r="417" ht="12.6" customHeight="1" x14ac:dyDescent="0.3"/>
    <row r="418" ht="12.6" customHeight="1" x14ac:dyDescent="0.3"/>
    <row r="419" ht="12.6" customHeight="1" x14ac:dyDescent="0.3"/>
    <row r="420" ht="12.6" customHeight="1" x14ac:dyDescent="0.3"/>
    <row r="421" ht="12.6" customHeight="1" x14ac:dyDescent="0.3"/>
    <row r="422" ht="12.6" customHeight="1" x14ac:dyDescent="0.3"/>
    <row r="423" ht="12.6" customHeight="1" x14ac:dyDescent="0.3"/>
    <row r="424" ht="12.6" customHeight="1" x14ac:dyDescent="0.3"/>
    <row r="425" ht="12.6" customHeight="1" x14ac:dyDescent="0.3"/>
    <row r="426" ht="12.6" customHeight="1" x14ac:dyDescent="0.3"/>
    <row r="427" ht="12.6" customHeight="1" x14ac:dyDescent="0.3"/>
    <row r="428" ht="12.6" customHeight="1" x14ac:dyDescent="0.3"/>
    <row r="429" ht="12.6" customHeight="1" x14ac:dyDescent="0.3"/>
    <row r="430" ht="12.6" customHeight="1" x14ac:dyDescent="0.3"/>
    <row r="431" ht="12.6" customHeight="1" x14ac:dyDescent="0.3"/>
    <row r="432" ht="12.6" customHeight="1" x14ac:dyDescent="0.3"/>
    <row r="433" ht="12.6" customHeight="1" x14ac:dyDescent="0.3"/>
    <row r="434" ht="12.6" customHeight="1" x14ac:dyDescent="0.3"/>
    <row r="435" ht="12.6" customHeight="1" x14ac:dyDescent="0.3"/>
    <row r="436" ht="12.6" customHeight="1" x14ac:dyDescent="0.3"/>
    <row r="437" ht="12.6" customHeight="1" x14ac:dyDescent="0.3"/>
    <row r="438" ht="12.6" customHeight="1" x14ac:dyDescent="0.3"/>
    <row r="439" ht="12.6" customHeight="1" x14ac:dyDescent="0.3"/>
    <row r="440" ht="12.6" customHeight="1" x14ac:dyDescent="0.3"/>
    <row r="441" ht="12.6" customHeight="1" x14ac:dyDescent="0.3"/>
    <row r="442" ht="12.6" customHeight="1" x14ac:dyDescent="0.3"/>
    <row r="443" ht="12.6" customHeight="1" x14ac:dyDescent="0.3"/>
    <row r="444" ht="12.6" customHeight="1" x14ac:dyDescent="0.3"/>
    <row r="445" ht="12.6" customHeight="1" x14ac:dyDescent="0.3"/>
    <row r="446" ht="12.6" customHeight="1" x14ac:dyDescent="0.3"/>
    <row r="447" ht="12.6" customHeight="1" x14ac:dyDescent="0.3"/>
    <row r="448" ht="12.6" customHeight="1" x14ac:dyDescent="0.3"/>
    <row r="449" ht="12.6" customHeight="1" x14ac:dyDescent="0.3"/>
    <row r="450" ht="12.6" customHeight="1" x14ac:dyDescent="0.3"/>
    <row r="451" ht="12.6" customHeight="1" x14ac:dyDescent="0.3"/>
    <row r="452" ht="12.6" customHeight="1" x14ac:dyDescent="0.3"/>
    <row r="453" ht="12.6" customHeight="1" x14ac:dyDescent="0.3"/>
    <row r="454" ht="12.6" customHeight="1" x14ac:dyDescent="0.3"/>
    <row r="455" ht="12.6" customHeight="1" x14ac:dyDescent="0.3"/>
    <row r="456" ht="12.6" customHeight="1" x14ac:dyDescent="0.3"/>
    <row r="457" ht="12.6" customHeight="1" x14ac:dyDescent="0.3"/>
    <row r="458" ht="12.6" customHeight="1" x14ac:dyDescent="0.3"/>
    <row r="459" ht="12.6" customHeight="1" x14ac:dyDescent="0.3"/>
    <row r="460" ht="12.6" customHeight="1" x14ac:dyDescent="0.3"/>
    <row r="461" ht="12.6" customHeight="1" x14ac:dyDescent="0.3"/>
    <row r="462" ht="12.6" customHeight="1" x14ac:dyDescent="0.3"/>
    <row r="463" ht="12.6" customHeight="1" x14ac:dyDescent="0.3"/>
    <row r="464" ht="12.6" customHeight="1" x14ac:dyDescent="0.3"/>
    <row r="465" ht="12.6" customHeight="1" x14ac:dyDescent="0.3"/>
    <row r="466" ht="12.6" customHeight="1" x14ac:dyDescent="0.3"/>
    <row r="467" ht="12.6" customHeight="1" x14ac:dyDescent="0.3"/>
    <row r="468" ht="12.6" customHeight="1" x14ac:dyDescent="0.3"/>
    <row r="469" ht="12.6" customHeight="1" x14ac:dyDescent="0.3"/>
    <row r="470" ht="12.6" customHeight="1" x14ac:dyDescent="0.3"/>
    <row r="471" ht="12.6" customHeight="1" x14ac:dyDescent="0.3"/>
    <row r="472" ht="12.6" customHeight="1" x14ac:dyDescent="0.3"/>
    <row r="473" ht="12.6" customHeight="1" x14ac:dyDescent="0.3"/>
    <row r="474" ht="12.6" customHeight="1" x14ac:dyDescent="0.3"/>
    <row r="475" ht="12.6" customHeight="1" x14ac:dyDescent="0.3"/>
    <row r="476" ht="12.6" customHeight="1" x14ac:dyDescent="0.3"/>
    <row r="477" ht="12.6" customHeight="1" x14ac:dyDescent="0.3"/>
    <row r="478" ht="12.6" customHeight="1" x14ac:dyDescent="0.3"/>
    <row r="479" ht="12.6" customHeight="1" x14ac:dyDescent="0.3"/>
    <row r="480" ht="12.6" customHeight="1" x14ac:dyDescent="0.3"/>
    <row r="481" ht="12.6" customHeight="1" x14ac:dyDescent="0.3"/>
    <row r="482" ht="12.6" customHeight="1" x14ac:dyDescent="0.3"/>
    <row r="483" ht="12.6" customHeight="1" x14ac:dyDescent="0.3"/>
    <row r="484" ht="12.6" customHeight="1" x14ac:dyDescent="0.3"/>
    <row r="485" ht="12.6" customHeight="1" x14ac:dyDescent="0.3"/>
    <row r="486" ht="12.6" customHeight="1" x14ac:dyDescent="0.3"/>
    <row r="487" ht="12.6" customHeight="1" x14ac:dyDescent="0.3"/>
    <row r="488" ht="12.6" customHeight="1" x14ac:dyDescent="0.3"/>
    <row r="489" ht="12.6" customHeight="1" x14ac:dyDescent="0.3"/>
    <row r="490" ht="12.6" customHeight="1" x14ac:dyDescent="0.3"/>
    <row r="491" ht="12.6" customHeight="1" x14ac:dyDescent="0.3"/>
    <row r="492" ht="12.6" customHeight="1" x14ac:dyDescent="0.3"/>
    <row r="493" ht="12.6" customHeight="1" x14ac:dyDescent="0.3"/>
    <row r="494" ht="12.6" customHeight="1" x14ac:dyDescent="0.3"/>
    <row r="495" ht="12.6" customHeight="1" x14ac:dyDescent="0.3"/>
    <row r="496" ht="12.6" customHeight="1" x14ac:dyDescent="0.3"/>
    <row r="497" ht="12.6" customHeight="1" x14ac:dyDescent="0.3"/>
    <row r="498" ht="12.6" customHeight="1" x14ac:dyDescent="0.3"/>
    <row r="499" ht="12.6" customHeight="1" x14ac:dyDescent="0.3"/>
    <row r="500" ht="12.6" customHeight="1" x14ac:dyDescent="0.3"/>
    <row r="501" ht="12.6" customHeight="1" x14ac:dyDescent="0.3"/>
    <row r="502" ht="12.6" customHeight="1" x14ac:dyDescent="0.3"/>
    <row r="503" ht="12.6" customHeight="1" x14ac:dyDescent="0.3"/>
    <row r="504" ht="12.6" customHeight="1" x14ac:dyDescent="0.3"/>
    <row r="505" ht="12.6" customHeight="1" x14ac:dyDescent="0.3"/>
    <row r="506" ht="12.6" customHeight="1" x14ac:dyDescent="0.3"/>
    <row r="507" ht="12.6" customHeight="1" x14ac:dyDescent="0.3"/>
    <row r="508" ht="12.6" customHeight="1" x14ac:dyDescent="0.3"/>
    <row r="509" ht="12.6" customHeight="1" x14ac:dyDescent="0.3"/>
    <row r="510" ht="12.6" customHeight="1" x14ac:dyDescent="0.3"/>
    <row r="511" ht="12.6" customHeight="1" x14ac:dyDescent="0.3"/>
    <row r="512" ht="12.6" customHeight="1" x14ac:dyDescent="0.3"/>
    <row r="513" ht="12.6" customHeight="1" x14ac:dyDescent="0.3"/>
    <row r="514" ht="12.6" customHeight="1" x14ac:dyDescent="0.3"/>
    <row r="515" ht="12.6" customHeight="1" x14ac:dyDescent="0.3"/>
    <row r="516" ht="12.6" customHeight="1" x14ac:dyDescent="0.3"/>
    <row r="517" ht="12.6" customHeight="1" x14ac:dyDescent="0.3"/>
    <row r="518" ht="12.6" customHeight="1" x14ac:dyDescent="0.3"/>
    <row r="519" ht="12.6" customHeight="1" x14ac:dyDescent="0.3"/>
    <row r="520" ht="12.6" customHeight="1" x14ac:dyDescent="0.3"/>
    <row r="521" ht="12.6" customHeight="1" x14ac:dyDescent="0.3"/>
    <row r="522" ht="12.6" customHeight="1" x14ac:dyDescent="0.3"/>
    <row r="523" ht="12.6" customHeight="1" x14ac:dyDescent="0.3"/>
    <row r="524" ht="12.6" customHeight="1" x14ac:dyDescent="0.3"/>
    <row r="525" ht="12.6" customHeight="1" x14ac:dyDescent="0.3"/>
    <row r="526" ht="12.6" customHeight="1" x14ac:dyDescent="0.3"/>
    <row r="527" ht="12.6" customHeight="1" x14ac:dyDescent="0.3"/>
    <row r="528" ht="12.6" customHeight="1" x14ac:dyDescent="0.3"/>
    <row r="529" ht="12.6" customHeight="1" x14ac:dyDescent="0.3"/>
    <row r="530" ht="12.6" customHeight="1" x14ac:dyDescent="0.3"/>
    <row r="531" ht="12.6" customHeight="1" x14ac:dyDescent="0.3"/>
    <row r="532" ht="12.6" customHeight="1" x14ac:dyDescent="0.3"/>
    <row r="533" ht="12.6" customHeight="1" x14ac:dyDescent="0.3"/>
    <row r="534" ht="12.6" customHeight="1" x14ac:dyDescent="0.3"/>
    <row r="535" ht="12.6" customHeight="1" x14ac:dyDescent="0.3"/>
    <row r="536" ht="12.6" customHeight="1" x14ac:dyDescent="0.3"/>
    <row r="537" ht="12.6" customHeight="1" x14ac:dyDescent="0.3"/>
    <row r="538" ht="12.6" customHeight="1" x14ac:dyDescent="0.3"/>
    <row r="539" ht="12.6" customHeight="1" x14ac:dyDescent="0.3"/>
    <row r="540" ht="12.6" customHeight="1" x14ac:dyDescent="0.3"/>
    <row r="541" ht="12.6" customHeight="1" x14ac:dyDescent="0.3"/>
    <row r="542" ht="12.6" customHeight="1" x14ac:dyDescent="0.3"/>
    <row r="543" ht="12.6" customHeight="1" x14ac:dyDescent="0.3"/>
    <row r="544" ht="12.6" customHeight="1" x14ac:dyDescent="0.3"/>
    <row r="545" ht="12.6" customHeight="1" x14ac:dyDescent="0.3"/>
    <row r="546" ht="12.6" customHeight="1" x14ac:dyDescent="0.3"/>
    <row r="547" ht="12.6" customHeight="1" x14ac:dyDescent="0.3"/>
    <row r="548" ht="12.6" customHeight="1" x14ac:dyDescent="0.3"/>
    <row r="549" ht="12.6" customHeight="1" x14ac:dyDescent="0.3"/>
    <row r="550" ht="12.6" customHeight="1" x14ac:dyDescent="0.3"/>
    <row r="551" ht="12.6" customHeight="1" x14ac:dyDescent="0.3"/>
    <row r="552" ht="12.6" customHeight="1" x14ac:dyDescent="0.3"/>
    <row r="553" ht="12.6" customHeight="1" x14ac:dyDescent="0.3"/>
    <row r="554" ht="12.6" customHeight="1" x14ac:dyDescent="0.3"/>
    <row r="555" ht="12.6" customHeight="1" x14ac:dyDescent="0.3"/>
    <row r="556" ht="12.6" customHeight="1" x14ac:dyDescent="0.3"/>
    <row r="557" ht="12.6" customHeight="1" x14ac:dyDescent="0.3"/>
    <row r="558" ht="12.6" customHeight="1" x14ac:dyDescent="0.3"/>
    <row r="559" ht="12.6" customHeight="1" x14ac:dyDescent="0.3"/>
    <row r="560" ht="12.6" customHeight="1" x14ac:dyDescent="0.3"/>
    <row r="561" ht="12.6" customHeight="1" x14ac:dyDescent="0.3"/>
    <row r="562" ht="12.6" customHeight="1" x14ac:dyDescent="0.3"/>
    <row r="563" ht="12.6" customHeight="1" x14ac:dyDescent="0.3"/>
    <row r="564" ht="12.6" customHeight="1" x14ac:dyDescent="0.3"/>
    <row r="565" ht="12.6" customHeight="1" x14ac:dyDescent="0.3"/>
    <row r="566" ht="12.6" customHeight="1" x14ac:dyDescent="0.3"/>
    <row r="567" ht="12.6" customHeight="1" x14ac:dyDescent="0.3"/>
    <row r="568" ht="12.6" customHeight="1" x14ac:dyDescent="0.3"/>
    <row r="569" ht="12.6" customHeight="1" x14ac:dyDescent="0.3"/>
    <row r="570" ht="12.6" customHeight="1" x14ac:dyDescent="0.3"/>
    <row r="571" ht="12.6" customHeight="1" x14ac:dyDescent="0.3"/>
    <row r="572" ht="12.6" customHeight="1" x14ac:dyDescent="0.3"/>
    <row r="573" ht="12.6" customHeight="1" x14ac:dyDescent="0.3"/>
    <row r="574" ht="12.6" customHeight="1" x14ac:dyDescent="0.3"/>
    <row r="575" ht="12.6" customHeight="1" x14ac:dyDescent="0.3"/>
    <row r="576" ht="12.6" customHeight="1" x14ac:dyDescent="0.3"/>
    <row r="577" ht="12.6" customHeight="1" x14ac:dyDescent="0.3"/>
    <row r="578" ht="12.6" customHeight="1" x14ac:dyDescent="0.3"/>
    <row r="579" ht="12.6" customHeight="1" x14ac:dyDescent="0.3"/>
    <row r="580" ht="12.6" customHeight="1" x14ac:dyDescent="0.3"/>
    <row r="581" ht="12.6" customHeight="1" x14ac:dyDescent="0.3"/>
    <row r="582" ht="12.6" customHeight="1" x14ac:dyDescent="0.3"/>
    <row r="583" ht="12.6" customHeight="1" x14ac:dyDescent="0.3"/>
    <row r="584" ht="12.6" customHeight="1" x14ac:dyDescent="0.3"/>
    <row r="585" ht="12.6" customHeight="1" x14ac:dyDescent="0.3"/>
    <row r="586" ht="12.6" customHeight="1" x14ac:dyDescent="0.3"/>
    <row r="587" ht="12.6" customHeight="1" x14ac:dyDescent="0.3"/>
    <row r="588" ht="12.6" customHeight="1" x14ac:dyDescent="0.3"/>
    <row r="589" ht="12.6" customHeight="1" x14ac:dyDescent="0.3"/>
    <row r="590" ht="12.6" customHeight="1" x14ac:dyDescent="0.3"/>
    <row r="591" ht="12.6" customHeight="1" x14ac:dyDescent="0.3"/>
    <row r="592" ht="12.6" customHeight="1" x14ac:dyDescent="0.3"/>
    <row r="593" ht="12.6" customHeight="1" x14ac:dyDescent="0.3"/>
    <row r="594" ht="12.6" customHeight="1" x14ac:dyDescent="0.3"/>
    <row r="595" ht="12.6" customHeight="1" x14ac:dyDescent="0.3"/>
    <row r="596" ht="12.6" customHeight="1" x14ac:dyDescent="0.3"/>
    <row r="597" ht="12.6" customHeight="1" x14ac:dyDescent="0.3"/>
    <row r="598" ht="12.6" customHeight="1" x14ac:dyDescent="0.3"/>
    <row r="599" ht="12.6" customHeight="1" x14ac:dyDescent="0.3"/>
    <row r="600" ht="12.6" customHeight="1" x14ac:dyDescent="0.3"/>
    <row r="601" ht="12.6" customHeight="1" x14ac:dyDescent="0.3"/>
    <row r="602" ht="12.6" customHeight="1" x14ac:dyDescent="0.3"/>
    <row r="603" ht="12.6" customHeight="1" x14ac:dyDescent="0.3"/>
    <row r="604" ht="12.6" customHeight="1" x14ac:dyDescent="0.3"/>
    <row r="605" ht="12.6" customHeight="1" x14ac:dyDescent="0.3"/>
    <row r="606" ht="12.6" customHeight="1" x14ac:dyDescent="0.3"/>
    <row r="607" ht="12.6" customHeight="1" x14ac:dyDescent="0.3"/>
    <row r="608" ht="12.6" customHeight="1" x14ac:dyDescent="0.3"/>
    <row r="609" ht="12.6" customHeight="1" x14ac:dyDescent="0.3"/>
    <row r="610" ht="12.6" customHeight="1" x14ac:dyDescent="0.3"/>
    <row r="611" ht="12.6" customHeight="1" x14ac:dyDescent="0.3"/>
    <row r="612" ht="12.6" customHeight="1" x14ac:dyDescent="0.3"/>
    <row r="613" ht="12.6" customHeight="1" x14ac:dyDescent="0.3"/>
    <row r="614" ht="12.6" customHeight="1" x14ac:dyDescent="0.3"/>
    <row r="615" ht="12.6" customHeight="1" x14ac:dyDescent="0.3"/>
    <row r="616" ht="12.6" customHeight="1" x14ac:dyDescent="0.3"/>
    <row r="617" ht="12.6" customHeight="1" x14ac:dyDescent="0.3"/>
    <row r="618" ht="12.6" customHeight="1" x14ac:dyDescent="0.3"/>
    <row r="619" ht="12.6" customHeight="1" x14ac:dyDescent="0.3"/>
    <row r="620" ht="12.6" customHeight="1" x14ac:dyDescent="0.3"/>
    <row r="621" ht="12.6" customHeight="1" x14ac:dyDescent="0.3"/>
    <row r="622" ht="12.6" customHeight="1" x14ac:dyDescent="0.3"/>
    <row r="623" ht="12.6" customHeight="1" x14ac:dyDescent="0.3"/>
    <row r="624" ht="12.6" customHeight="1" x14ac:dyDescent="0.3"/>
    <row r="625" ht="12.6" customHeight="1" x14ac:dyDescent="0.3"/>
    <row r="626" ht="12.6" customHeight="1" x14ac:dyDescent="0.3"/>
    <row r="627" ht="12.6" customHeight="1" x14ac:dyDescent="0.3"/>
    <row r="628" ht="12.6" customHeight="1" x14ac:dyDescent="0.3"/>
    <row r="629" ht="12.6" customHeight="1" x14ac:dyDescent="0.3"/>
    <row r="630" ht="12.6" customHeight="1" x14ac:dyDescent="0.3"/>
    <row r="631" ht="12.6" customHeight="1" x14ac:dyDescent="0.3"/>
    <row r="632" ht="12.6" customHeight="1" x14ac:dyDescent="0.3"/>
    <row r="633" ht="12.6" customHeight="1" x14ac:dyDescent="0.3"/>
    <row r="634" ht="12.6" customHeight="1" x14ac:dyDescent="0.3"/>
    <row r="635" ht="12.6" customHeight="1" x14ac:dyDescent="0.3"/>
    <row r="636" ht="12.6" customHeight="1" x14ac:dyDescent="0.3"/>
    <row r="637" ht="12.6" customHeight="1" x14ac:dyDescent="0.3"/>
    <row r="638" ht="12.6" customHeight="1" x14ac:dyDescent="0.3"/>
    <row r="639" ht="12.6" customHeight="1" x14ac:dyDescent="0.3"/>
    <row r="640" ht="12.6" customHeight="1" x14ac:dyDescent="0.3"/>
    <row r="641" ht="12.6" customHeight="1" x14ac:dyDescent="0.3"/>
    <row r="642" ht="12.6" customHeight="1" x14ac:dyDescent="0.3"/>
    <row r="643" ht="12.6" customHeight="1" x14ac:dyDescent="0.3"/>
    <row r="644" ht="12.6" customHeight="1" x14ac:dyDescent="0.3"/>
    <row r="645" ht="12.6" customHeight="1" x14ac:dyDescent="0.3"/>
    <row r="646" ht="12.6" customHeight="1" x14ac:dyDescent="0.3"/>
    <row r="647" ht="12.6" customHeight="1" x14ac:dyDescent="0.3"/>
    <row r="648" ht="12.6" customHeight="1" x14ac:dyDescent="0.3"/>
    <row r="649" ht="12.6" customHeight="1" x14ac:dyDescent="0.3"/>
    <row r="650" ht="12.6" customHeight="1" x14ac:dyDescent="0.3"/>
    <row r="651" ht="12.6" customHeight="1" x14ac:dyDescent="0.3"/>
    <row r="652" ht="12.6" customHeight="1" x14ac:dyDescent="0.3"/>
    <row r="653" ht="12.6" customHeight="1" x14ac:dyDescent="0.3"/>
    <row r="654" ht="12.6" customHeight="1" x14ac:dyDescent="0.3"/>
    <row r="655" ht="12.6" customHeight="1" x14ac:dyDescent="0.3"/>
    <row r="656" ht="12.6" customHeight="1" x14ac:dyDescent="0.3"/>
    <row r="657" ht="12.6" customHeight="1" x14ac:dyDescent="0.3"/>
    <row r="658" ht="12.6" customHeight="1" x14ac:dyDescent="0.3"/>
    <row r="659" ht="12.6" customHeight="1" x14ac:dyDescent="0.3"/>
    <row r="660" ht="12.6" customHeight="1" x14ac:dyDescent="0.3"/>
    <row r="661" ht="12.6" customHeight="1" x14ac:dyDescent="0.3"/>
    <row r="662" ht="12.6" customHeight="1" x14ac:dyDescent="0.3"/>
    <row r="663" ht="12.6" customHeight="1" x14ac:dyDescent="0.3"/>
    <row r="664" ht="12.6" customHeight="1" x14ac:dyDescent="0.3"/>
    <row r="665" ht="12.6" customHeight="1" x14ac:dyDescent="0.3"/>
    <row r="666" ht="12.6" customHeight="1" x14ac:dyDescent="0.3"/>
    <row r="667" ht="12.6" customHeight="1" x14ac:dyDescent="0.3"/>
    <row r="668" ht="12.6" customHeight="1" x14ac:dyDescent="0.3"/>
    <row r="669" ht="12.6" customHeight="1" x14ac:dyDescent="0.3"/>
    <row r="670" ht="12.6" customHeight="1" x14ac:dyDescent="0.3"/>
    <row r="671" ht="12.6" customHeight="1" x14ac:dyDescent="0.3"/>
    <row r="672" ht="12.6" customHeight="1" x14ac:dyDescent="0.3"/>
    <row r="673" ht="12.6" customHeight="1" x14ac:dyDescent="0.3"/>
    <row r="674" ht="12.6" customHeight="1" x14ac:dyDescent="0.3"/>
    <row r="675" ht="12.6" customHeight="1" x14ac:dyDescent="0.3"/>
    <row r="676" ht="12.6" customHeight="1" x14ac:dyDescent="0.3"/>
    <row r="677" ht="12.6" customHeight="1" x14ac:dyDescent="0.3"/>
    <row r="678" ht="12.6" customHeight="1" x14ac:dyDescent="0.3"/>
    <row r="679" ht="12.6" customHeight="1" x14ac:dyDescent="0.3"/>
    <row r="680" ht="12.6" customHeight="1" x14ac:dyDescent="0.3"/>
    <row r="681" ht="12.6" customHeight="1" x14ac:dyDescent="0.3"/>
    <row r="682" ht="12.6" customHeight="1" x14ac:dyDescent="0.3"/>
    <row r="683" ht="12.6" customHeight="1" x14ac:dyDescent="0.3"/>
    <row r="684" ht="12.6" customHeight="1" x14ac:dyDescent="0.3"/>
    <row r="685" ht="12.6" customHeight="1" x14ac:dyDescent="0.3"/>
    <row r="686" ht="12.6" customHeight="1" x14ac:dyDescent="0.3"/>
    <row r="687" ht="12.6" customHeight="1" x14ac:dyDescent="0.3"/>
    <row r="688" ht="12.6" customHeight="1" x14ac:dyDescent="0.3"/>
    <row r="689" ht="12.6" customHeight="1" x14ac:dyDescent="0.3"/>
    <row r="690" ht="12.6" customHeight="1" x14ac:dyDescent="0.3"/>
    <row r="691" ht="12.6" customHeight="1" x14ac:dyDescent="0.3"/>
    <row r="692" ht="12.6" customHeight="1" x14ac:dyDescent="0.3"/>
    <row r="693" ht="12.6" customHeight="1" x14ac:dyDescent="0.3"/>
    <row r="694" ht="12.6" customHeight="1" x14ac:dyDescent="0.3"/>
    <row r="695" ht="12.6" customHeight="1" x14ac:dyDescent="0.3"/>
    <row r="696" ht="12.6" customHeight="1" x14ac:dyDescent="0.3"/>
    <row r="697" ht="12.6" customHeight="1" x14ac:dyDescent="0.3"/>
    <row r="698" ht="12.6" customHeight="1" x14ac:dyDescent="0.3"/>
    <row r="699" ht="12.6" customHeight="1" x14ac:dyDescent="0.3"/>
    <row r="700" ht="12.6" customHeight="1" x14ac:dyDescent="0.3"/>
    <row r="701" ht="12.6" customHeight="1" x14ac:dyDescent="0.3"/>
    <row r="702" ht="12.6" customHeight="1" x14ac:dyDescent="0.3"/>
    <row r="703" ht="12.6" customHeight="1" x14ac:dyDescent="0.3"/>
    <row r="704" ht="12.6" customHeight="1" x14ac:dyDescent="0.3"/>
    <row r="705" ht="12.6" customHeight="1" x14ac:dyDescent="0.3"/>
    <row r="706" ht="12.6" customHeight="1" x14ac:dyDescent="0.3"/>
    <row r="707" ht="12.6" customHeight="1" x14ac:dyDescent="0.3"/>
    <row r="708" ht="12.6" customHeight="1" x14ac:dyDescent="0.3"/>
    <row r="709" ht="12.6" customHeight="1" x14ac:dyDescent="0.3"/>
    <row r="710" ht="12.6" customHeight="1" x14ac:dyDescent="0.3"/>
    <row r="711" ht="12.6" customHeight="1" x14ac:dyDescent="0.3"/>
    <row r="712" ht="12.6" customHeight="1" x14ac:dyDescent="0.3"/>
    <row r="713" ht="12.6" customHeight="1" x14ac:dyDescent="0.3"/>
    <row r="714" ht="12.6" customHeight="1" x14ac:dyDescent="0.3"/>
    <row r="715" ht="12.6" customHeight="1" x14ac:dyDescent="0.3"/>
    <row r="716" ht="12.6" customHeight="1" x14ac:dyDescent="0.3"/>
    <row r="717" ht="12.6" customHeight="1" x14ac:dyDescent="0.3"/>
    <row r="718" ht="12.6" customHeight="1" x14ac:dyDescent="0.3"/>
    <row r="719" ht="12.6" customHeight="1" x14ac:dyDescent="0.3"/>
    <row r="720" ht="12.6" customHeight="1" x14ac:dyDescent="0.3"/>
    <row r="721" ht="12.6" customHeight="1" x14ac:dyDescent="0.3"/>
    <row r="722" ht="12.6" customHeight="1" x14ac:dyDescent="0.3"/>
    <row r="723" ht="12.6" customHeight="1" x14ac:dyDescent="0.3"/>
    <row r="724" ht="12.6" customHeight="1" x14ac:dyDescent="0.3"/>
    <row r="725" ht="12.6" customHeight="1" x14ac:dyDescent="0.3"/>
    <row r="726" ht="12.6" customHeight="1" x14ac:dyDescent="0.3"/>
    <row r="727" ht="12.6" customHeight="1" x14ac:dyDescent="0.3"/>
    <row r="728" ht="12.6" customHeight="1" x14ac:dyDescent="0.3"/>
    <row r="729" ht="12.6" customHeight="1" x14ac:dyDescent="0.3"/>
    <row r="730" ht="12.6" customHeight="1" x14ac:dyDescent="0.3"/>
    <row r="731" ht="12.6" customHeight="1" x14ac:dyDescent="0.3"/>
    <row r="732" ht="12.6" customHeight="1" x14ac:dyDescent="0.3"/>
    <row r="733" ht="12.6" customHeight="1" x14ac:dyDescent="0.3"/>
    <row r="734" ht="12.6" customHeight="1" x14ac:dyDescent="0.3"/>
    <row r="735" ht="12.6" customHeight="1" x14ac:dyDescent="0.3"/>
    <row r="736" ht="12.6" customHeight="1" x14ac:dyDescent="0.3"/>
    <row r="737" ht="12.6" customHeight="1" x14ac:dyDescent="0.3"/>
    <row r="738" ht="12.6" customHeight="1" x14ac:dyDescent="0.3"/>
    <row r="739" ht="12.6" customHeight="1" x14ac:dyDescent="0.3"/>
    <row r="740" ht="12.6" customHeight="1" x14ac:dyDescent="0.3"/>
    <row r="741" ht="12.6" customHeight="1" x14ac:dyDescent="0.3"/>
    <row r="742" ht="12.6" customHeight="1" x14ac:dyDescent="0.3"/>
    <row r="743" ht="12.6" customHeight="1" x14ac:dyDescent="0.3"/>
    <row r="744" ht="12.6" customHeight="1" x14ac:dyDescent="0.3"/>
    <row r="745" ht="12.6" customHeight="1" x14ac:dyDescent="0.3"/>
    <row r="746" ht="12.6" customHeight="1" x14ac:dyDescent="0.3"/>
    <row r="747" ht="12.6" customHeight="1" x14ac:dyDescent="0.3"/>
    <row r="748" ht="12.6" customHeight="1" x14ac:dyDescent="0.3"/>
    <row r="749" ht="12.6" customHeight="1" x14ac:dyDescent="0.3"/>
    <row r="750" ht="12.6" customHeight="1" x14ac:dyDescent="0.3"/>
    <row r="751" ht="12.6" customHeight="1" x14ac:dyDescent="0.3"/>
    <row r="752" ht="12.6" customHeight="1" x14ac:dyDescent="0.3"/>
    <row r="753" ht="12.6" customHeight="1" x14ac:dyDescent="0.3"/>
    <row r="754" ht="12.6" customHeight="1" x14ac:dyDescent="0.3"/>
    <row r="755" ht="12.6" customHeight="1" x14ac:dyDescent="0.3"/>
    <row r="756" ht="12.6" customHeight="1" x14ac:dyDescent="0.3"/>
    <row r="757" ht="12.6" customHeight="1" x14ac:dyDescent="0.3"/>
    <row r="758" ht="12.6" customHeight="1" x14ac:dyDescent="0.3"/>
    <row r="759" ht="12.6" customHeight="1" x14ac:dyDescent="0.3"/>
    <row r="760" ht="12.6" customHeight="1" x14ac:dyDescent="0.3"/>
    <row r="761" ht="12.6" customHeight="1" x14ac:dyDescent="0.3"/>
    <row r="762" ht="12.6" customHeight="1" x14ac:dyDescent="0.3"/>
    <row r="763" ht="12.6" customHeight="1" x14ac:dyDescent="0.3"/>
    <row r="764" ht="12.6" customHeight="1" x14ac:dyDescent="0.3"/>
    <row r="765" ht="12.6" customHeight="1" x14ac:dyDescent="0.3"/>
    <row r="766" ht="12.6" customHeight="1" x14ac:dyDescent="0.3"/>
    <row r="767" ht="12.6" customHeight="1" x14ac:dyDescent="0.3"/>
    <row r="768" ht="12.6" customHeight="1" x14ac:dyDescent="0.3"/>
    <row r="769" ht="12.6" customHeight="1" x14ac:dyDescent="0.3"/>
    <row r="770" ht="12.6" customHeight="1" x14ac:dyDescent="0.3"/>
    <row r="771" ht="12.6" customHeight="1" x14ac:dyDescent="0.3"/>
    <row r="772" ht="12.6" customHeight="1" x14ac:dyDescent="0.3"/>
    <row r="773" ht="12.6" customHeight="1" x14ac:dyDescent="0.3"/>
    <row r="774" ht="12.6" customHeight="1" x14ac:dyDescent="0.3"/>
    <row r="775" ht="12.6" customHeight="1" x14ac:dyDescent="0.3"/>
    <row r="776" ht="12.6" customHeight="1" x14ac:dyDescent="0.3"/>
    <row r="777" ht="12.6" customHeight="1" x14ac:dyDescent="0.3"/>
    <row r="778" ht="12.6" customHeight="1" x14ac:dyDescent="0.3"/>
    <row r="779" ht="12.6" customHeight="1" x14ac:dyDescent="0.3"/>
    <row r="780" ht="12.6" customHeight="1" x14ac:dyDescent="0.3"/>
    <row r="781" ht="12.6" customHeight="1" x14ac:dyDescent="0.3"/>
    <row r="782" ht="12.6" customHeight="1" x14ac:dyDescent="0.3"/>
    <row r="783" ht="12.6" customHeight="1" x14ac:dyDescent="0.3"/>
    <row r="784" ht="12.6" customHeight="1" x14ac:dyDescent="0.3"/>
    <row r="785" ht="12.6" customHeight="1" x14ac:dyDescent="0.3"/>
    <row r="786" ht="12.6" customHeight="1" x14ac:dyDescent="0.3"/>
    <row r="787" ht="12.6" customHeight="1" x14ac:dyDescent="0.3"/>
    <row r="788" ht="12.6" customHeight="1" x14ac:dyDescent="0.3"/>
    <row r="789" ht="12.6" customHeight="1" x14ac:dyDescent="0.3"/>
    <row r="790" ht="12.6" customHeight="1" x14ac:dyDescent="0.3"/>
    <row r="791" ht="12.6" customHeight="1" x14ac:dyDescent="0.3"/>
    <row r="792" ht="12.6" customHeight="1" x14ac:dyDescent="0.3"/>
    <row r="793" ht="12.6" customHeight="1" x14ac:dyDescent="0.3"/>
    <row r="794" ht="12.6" customHeight="1" x14ac:dyDescent="0.3"/>
    <row r="795" ht="12.6" customHeight="1" x14ac:dyDescent="0.3"/>
    <row r="796" ht="12.6" customHeight="1" x14ac:dyDescent="0.3"/>
    <row r="797" ht="12.6" customHeight="1" x14ac:dyDescent="0.3"/>
    <row r="798" ht="12.6" customHeight="1" x14ac:dyDescent="0.3"/>
    <row r="799" ht="12.6" customHeight="1" x14ac:dyDescent="0.3"/>
    <row r="800" ht="12.6" customHeight="1" x14ac:dyDescent="0.3"/>
    <row r="801" ht="12.6" customHeight="1" x14ac:dyDescent="0.3"/>
    <row r="802" ht="12.6" customHeight="1" x14ac:dyDescent="0.3"/>
    <row r="803" ht="12.6" customHeight="1" x14ac:dyDescent="0.3"/>
    <row r="804" ht="12.6" customHeight="1" x14ac:dyDescent="0.3"/>
    <row r="805" ht="12.6" customHeight="1" x14ac:dyDescent="0.3"/>
    <row r="806" ht="12.6" customHeight="1" x14ac:dyDescent="0.3"/>
    <row r="807" ht="12.6" customHeight="1" x14ac:dyDescent="0.3"/>
    <row r="808" ht="12.6" customHeight="1" x14ac:dyDescent="0.3"/>
    <row r="809" ht="12.6" customHeight="1" x14ac:dyDescent="0.3"/>
    <row r="810" ht="12.6" customHeight="1" x14ac:dyDescent="0.3"/>
    <row r="811" ht="12.6" customHeight="1" x14ac:dyDescent="0.3"/>
    <row r="812" ht="12.6" customHeight="1" x14ac:dyDescent="0.3"/>
    <row r="813" ht="12.6" customHeight="1" x14ac:dyDescent="0.3"/>
    <row r="814" ht="12.6" customHeight="1" x14ac:dyDescent="0.3"/>
    <row r="815" ht="12.6" customHeight="1" x14ac:dyDescent="0.3"/>
    <row r="816" ht="12.6" customHeight="1" x14ac:dyDescent="0.3"/>
    <row r="817" ht="12.6" customHeight="1" x14ac:dyDescent="0.3"/>
    <row r="818" ht="12.6" customHeight="1" x14ac:dyDescent="0.3"/>
    <row r="819" ht="12.6" customHeight="1" x14ac:dyDescent="0.3"/>
    <row r="820" ht="12.6" customHeight="1" x14ac:dyDescent="0.3"/>
    <row r="821" ht="12.6" customHeight="1" x14ac:dyDescent="0.3"/>
    <row r="822" ht="12.6" customHeight="1" x14ac:dyDescent="0.3"/>
    <row r="823" ht="12.6" customHeight="1" x14ac:dyDescent="0.3"/>
    <row r="824" ht="12.6" customHeight="1" x14ac:dyDescent="0.3"/>
    <row r="825" ht="12.6" customHeight="1" x14ac:dyDescent="0.3"/>
    <row r="826" ht="12.6" customHeight="1" x14ac:dyDescent="0.3"/>
    <row r="827" ht="12.6" customHeight="1" x14ac:dyDescent="0.3"/>
    <row r="828" ht="12.6" customHeight="1" x14ac:dyDescent="0.3"/>
    <row r="829" ht="12.6" customHeight="1" x14ac:dyDescent="0.3"/>
    <row r="830" ht="12.6" customHeight="1" x14ac:dyDescent="0.3"/>
    <row r="831" ht="12.6" customHeight="1" x14ac:dyDescent="0.3"/>
    <row r="832" ht="12.6" customHeight="1" x14ac:dyDescent="0.3"/>
    <row r="833" ht="12.6" customHeight="1" x14ac:dyDescent="0.3"/>
    <row r="834" ht="12.6" customHeight="1" x14ac:dyDescent="0.3"/>
    <row r="835" ht="12.6" customHeight="1" x14ac:dyDescent="0.3"/>
    <row r="836" ht="12.6" customHeight="1" x14ac:dyDescent="0.3"/>
    <row r="837" ht="12.6" customHeight="1" x14ac:dyDescent="0.3"/>
    <row r="838" ht="12.6" customHeight="1" x14ac:dyDescent="0.3"/>
    <row r="839" ht="12.6" customHeight="1" x14ac:dyDescent="0.3"/>
    <row r="840" ht="12.6" customHeight="1" x14ac:dyDescent="0.3"/>
    <row r="841" ht="12.6" customHeight="1" x14ac:dyDescent="0.3"/>
    <row r="842" ht="12.6" customHeight="1" x14ac:dyDescent="0.3"/>
    <row r="843" ht="12.6" customHeight="1" x14ac:dyDescent="0.3"/>
    <row r="844" ht="12.6" customHeight="1" x14ac:dyDescent="0.3"/>
    <row r="845" ht="12.6" customHeight="1" x14ac:dyDescent="0.3"/>
    <row r="846" ht="12.6" customHeight="1" x14ac:dyDescent="0.3"/>
    <row r="847" ht="12.6" customHeight="1" x14ac:dyDescent="0.3"/>
    <row r="848" ht="12.6" customHeight="1" x14ac:dyDescent="0.3"/>
    <row r="849" ht="12.6" customHeight="1" x14ac:dyDescent="0.3"/>
    <row r="850" ht="12.6" customHeight="1" x14ac:dyDescent="0.3"/>
    <row r="851" ht="12.6" customHeight="1" x14ac:dyDescent="0.3"/>
    <row r="852" ht="12.6" customHeight="1" x14ac:dyDescent="0.3"/>
    <row r="853" ht="12.6" customHeight="1" x14ac:dyDescent="0.3"/>
    <row r="854" ht="12.6" customHeight="1" x14ac:dyDescent="0.3"/>
    <row r="855" ht="12.6" customHeight="1" x14ac:dyDescent="0.3"/>
    <row r="856" ht="12.6" customHeight="1" x14ac:dyDescent="0.3"/>
    <row r="857" ht="12.6" customHeight="1" x14ac:dyDescent="0.3"/>
    <row r="858" ht="12.6" customHeight="1" x14ac:dyDescent="0.3"/>
    <row r="859" ht="12.6" customHeight="1" x14ac:dyDescent="0.3"/>
    <row r="860" ht="12.6" customHeight="1" x14ac:dyDescent="0.3"/>
    <row r="861" ht="12.6" customHeight="1" x14ac:dyDescent="0.3"/>
    <row r="862" ht="12.6" customHeight="1" x14ac:dyDescent="0.3"/>
    <row r="863" ht="12.6" customHeight="1" x14ac:dyDescent="0.3"/>
    <row r="864" ht="12.6" customHeight="1" x14ac:dyDescent="0.3"/>
    <row r="865" ht="12.6" customHeight="1" x14ac:dyDescent="0.3"/>
    <row r="866" ht="12.6" customHeight="1" x14ac:dyDescent="0.3"/>
    <row r="867" ht="12.6" customHeight="1" x14ac:dyDescent="0.3"/>
    <row r="868" ht="12.6" customHeight="1" x14ac:dyDescent="0.3"/>
    <row r="869" ht="12.6" customHeight="1" x14ac:dyDescent="0.3"/>
    <row r="870" ht="12.6" customHeight="1" x14ac:dyDescent="0.3"/>
    <row r="871" ht="12.6" customHeight="1" x14ac:dyDescent="0.3"/>
    <row r="872" ht="12.6" customHeight="1" x14ac:dyDescent="0.3"/>
    <row r="873" ht="12.6" customHeight="1" x14ac:dyDescent="0.3"/>
    <row r="874" ht="12.6" customHeight="1" x14ac:dyDescent="0.3"/>
    <row r="875" ht="12.6" customHeight="1" x14ac:dyDescent="0.3"/>
    <row r="876" ht="12.6" customHeight="1" x14ac:dyDescent="0.3"/>
    <row r="877" ht="12.6" customHeight="1" x14ac:dyDescent="0.3"/>
    <row r="878" ht="12.6" customHeight="1" x14ac:dyDescent="0.3"/>
    <row r="879" ht="12.6" customHeight="1" x14ac:dyDescent="0.3"/>
    <row r="880" ht="12.6" customHeight="1" x14ac:dyDescent="0.3"/>
    <row r="881" ht="12.6" customHeight="1" x14ac:dyDescent="0.3"/>
    <row r="882" ht="12.6" customHeight="1" x14ac:dyDescent="0.3"/>
    <row r="883" ht="12.6" customHeight="1" x14ac:dyDescent="0.3"/>
    <row r="884" ht="12.6" customHeight="1" x14ac:dyDescent="0.3"/>
    <row r="885" ht="12.6" customHeight="1" x14ac:dyDescent="0.3"/>
    <row r="886" ht="12.6" customHeight="1" x14ac:dyDescent="0.3"/>
    <row r="887" ht="12.6" customHeight="1" x14ac:dyDescent="0.3"/>
    <row r="888" ht="12.6" customHeight="1" x14ac:dyDescent="0.3"/>
    <row r="889" ht="12.6" customHeight="1" x14ac:dyDescent="0.3"/>
    <row r="890" ht="12.6" customHeight="1" x14ac:dyDescent="0.3"/>
    <row r="891" ht="12.6" customHeight="1" x14ac:dyDescent="0.3"/>
    <row r="892" ht="12.6" customHeight="1" x14ac:dyDescent="0.3"/>
    <row r="893" ht="12.6" customHeight="1" x14ac:dyDescent="0.3"/>
    <row r="894" ht="12.6" customHeight="1" x14ac:dyDescent="0.3"/>
    <row r="895" ht="12.6" customHeight="1" x14ac:dyDescent="0.3"/>
    <row r="896" ht="12.6" customHeight="1" x14ac:dyDescent="0.3"/>
    <row r="897" ht="12.6" customHeight="1" x14ac:dyDescent="0.3"/>
    <row r="898" ht="12.6" customHeight="1" x14ac:dyDescent="0.3"/>
    <row r="899" ht="12.6" customHeight="1" x14ac:dyDescent="0.3"/>
    <row r="900" ht="12.6" customHeight="1" x14ac:dyDescent="0.3"/>
    <row r="901" ht="12.6" customHeight="1" x14ac:dyDescent="0.3"/>
    <row r="902" ht="12.6" customHeight="1" x14ac:dyDescent="0.3"/>
    <row r="903" ht="12.6" customHeight="1" x14ac:dyDescent="0.3"/>
    <row r="904" ht="12.6" customHeight="1" x14ac:dyDescent="0.3"/>
    <row r="905" ht="12.6" customHeight="1" x14ac:dyDescent="0.3"/>
    <row r="906" ht="12.6" customHeight="1" x14ac:dyDescent="0.3"/>
    <row r="907" ht="12.6" customHeight="1" x14ac:dyDescent="0.3"/>
    <row r="908" ht="12.6" customHeight="1" x14ac:dyDescent="0.3"/>
    <row r="909" ht="12.6" customHeight="1" x14ac:dyDescent="0.3"/>
    <row r="910" ht="12.6" customHeight="1" x14ac:dyDescent="0.3"/>
    <row r="911" ht="12.6" customHeight="1" x14ac:dyDescent="0.3"/>
    <row r="912" ht="12.6" customHeight="1" x14ac:dyDescent="0.3"/>
    <row r="913" ht="12.6" customHeight="1" x14ac:dyDescent="0.3"/>
    <row r="914" ht="12.6" customHeight="1" x14ac:dyDescent="0.3"/>
    <row r="915" ht="12.6" customHeight="1" x14ac:dyDescent="0.3"/>
    <row r="916" ht="12.6" customHeight="1" x14ac:dyDescent="0.3"/>
    <row r="917" ht="12.6" customHeight="1" x14ac:dyDescent="0.3"/>
    <row r="918" ht="12.6" customHeight="1" x14ac:dyDescent="0.3"/>
    <row r="919" ht="12.6" customHeight="1" x14ac:dyDescent="0.3"/>
    <row r="920" ht="12.6" customHeight="1" x14ac:dyDescent="0.3"/>
    <row r="921" ht="12.6" customHeight="1" x14ac:dyDescent="0.3"/>
    <row r="922" ht="12.6" customHeight="1" x14ac:dyDescent="0.3"/>
    <row r="923" ht="12.6" customHeight="1" x14ac:dyDescent="0.3"/>
    <row r="924" ht="12.6" customHeight="1" x14ac:dyDescent="0.3"/>
    <row r="925" ht="12.6" customHeight="1" x14ac:dyDescent="0.3"/>
    <row r="926" ht="12.6" customHeight="1" x14ac:dyDescent="0.3"/>
    <row r="927" ht="12.6" customHeight="1" x14ac:dyDescent="0.3"/>
    <row r="928" ht="12.6" customHeight="1" x14ac:dyDescent="0.3"/>
    <row r="929" ht="12.6" customHeight="1" x14ac:dyDescent="0.3"/>
    <row r="930" ht="12.6" customHeight="1" x14ac:dyDescent="0.3"/>
    <row r="931" ht="12.6" customHeight="1" x14ac:dyDescent="0.3"/>
    <row r="932" ht="12.6" customHeight="1" x14ac:dyDescent="0.3"/>
    <row r="933" ht="12.6" customHeight="1" x14ac:dyDescent="0.3"/>
    <row r="934" ht="12.6" customHeight="1" x14ac:dyDescent="0.3"/>
    <row r="935" ht="12.6" customHeight="1" x14ac:dyDescent="0.3"/>
    <row r="936" ht="12.6" customHeight="1" x14ac:dyDescent="0.3"/>
    <row r="937" ht="12.6" customHeight="1" x14ac:dyDescent="0.3"/>
    <row r="938" ht="12.6" customHeight="1" x14ac:dyDescent="0.3"/>
    <row r="939" ht="12.6" customHeight="1" x14ac:dyDescent="0.3"/>
    <row r="940" ht="12.6" customHeight="1" x14ac:dyDescent="0.3"/>
    <row r="941" ht="12.6" customHeight="1" x14ac:dyDescent="0.3"/>
    <row r="942" ht="12.6" customHeight="1" x14ac:dyDescent="0.3"/>
    <row r="943" ht="12.6" customHeight="1" x14ac:dyDescent="0.3"/>
    <row r="944" ht="12.6" customHeight="1" x14ac:dyDescent="0.3"/>
    <row r="945" ht="12.6" customHeight="1" x14ac:dyDescent="0.3"/>
    <row r="946" ht="12.6" customHeight="1" x14ac:dyDescent="0.3"/>
    <row r="947" ht="12.6" customHeight="1" x14ac:dyDescent="0.3"/>
    <row r="948" ht="12.6" customHeight="1" x14ac:dyDescent="0.3"/>
    <row r="949" ht="12.6" customHeight="1" x14ac:dyDescent="0.3"/>
    <row r="950" ht="12.6" customHeight="1" x14ac:dyDescent="0.3"/>
    <row r="951" ht="12.6" customHeight="1" x14ac:dyDescent="0.3"/>
    <row r="952" ht="12.6" customHeight="1" x14ac:dyDescent="0.3"/>
    <row r="953" ht="12.6" customHeight="1" x14ac:dyDescent="0.3"/>
    <row r="954" ht="12.6" customHeight="1" x14ac:dyDescent="0.3"/>
    <row r="955" ht="12.6" customHeight="1" x14ac:dyDescent="0.3"/>
    <row r="956" ht="12.6" customHeight="1" x14ac:dyDescent="0.3"/>
    <row r="957" ht="12.6" customHeight="1" x14ac:dyDescent="0.3"/>
    <row r="958" ht="12.6" customHeight="1" x14ac:dyDescent="0.3"/>
    <row r="959" ht="12.6" customHeight="1" x14ac:dyDescent="0.3"/>
    <row r="960" ht="12.6" customHeight="1" x14ac:dyDescent="0.3"/>
    <row r="961" ht="12.6" customHeight="1" x14ac:dyDescent="0.3"/>
    <row r="962" ht="12.6" customHeight="1" x14ac:dyDescent="0.3"/>
    <row r="963" ht="12.6" customHeight="1" x14ac:dyDescent="0.3"/>
    <row r="964" ht="12.6" customHeight="1" x14ac:dyDescent="0.3"/>
    <row r="965" ht="12.6" customHeight="1" x14ac:dyDescent="0.3"/>
    <row r="966" ht="12.6" customHeight="1" x14ac:dyDescent="0.3"/>
    <row r="967" ht="12.6" customHeight="1" x14ac:dyDescent="0.3"/>
    <row r="968" ht="12.6" customHeight="1" x14ac:dyDescent="0.3"/>
    <row r="969" ht="12.6" customHeight="1" x14ac:dyDescent="0.3"/>
    <row r="970" ht="12.6" customHeight="1" x14ac:dyDescent="0.3"/>
    <row r="971" ht="12.6" customHeight="1" x14ac:dyDescent="0.3"/>
    <row r="972" ht="12.6" customHeight="1" x14ac:dyDescent="0.3"/>
    <row r="973" ht="12.6" customHeight="1" x14ac:dyDescent="0.3"/>
    <row r="974" ht="12.6" customHeight="1" x14ac:dyDescent="0.3"/>
    <row r="975" ht="12.6" customHeight="1" x14ac:dyDescent="0.3"/>
    <row r="976" ht="12.6" customHeight="1" x14ac:dyDescent="0.3"/>
    <row r="977" ht="12.6" customHeight="1" x14ac:dyDescent="0.3"/>
    <row r="978" ht="12.6" customHeight="1" x14ac:dyDescent="0.3"/>
    <row r="979" ht="12.6" customHeight="1" x14ac:dyDescent="0.3"/>
    <row r="980" ht="12.6" customHeight="1" x14ac:dyDescent="0.3"/>
    <row r="981" ht="12.6" customHeight="1" x14ac:dyDescent="0.3"/>
    <row r="982" ht="12.6" customHeight="1" x14ac:dyDescent="0.3"/>
    <row r="983" ht="12.6" customHeight="1" x14ac:dyDescent="0.3"/>
    <row r="984" ht="12.6" customHeight="1" x14ac:dyDescent="0.3"/>
    <row r="985" ht="12.6" customHeight="1" x14ac:dyDescent="0.3"/>
    <row r="986" ht="12.6" customHeight="1" x14ac:dyDescent="0.3"/>
    <row r="987" ht="12.6" customHeight="1" x14ac:dyDescent="0.3"/>
    <row r="988" ht="12.6" customHeight="1" x14ac:dyDescent="0.3"/>
    <row r="989" ht="12.6" customHeight="1" x14ac:dyDescent="0.3"/>
    <row r="990" ht="12.6" customHeight="1" x14ac:dyDescent="0.3"/>
    <row r="991" ht="12.6" customHeight="1" x14ac:dyDescent="0.3"/>
    <row r="992" ht="12.6" customHeight="1" x14ac:dyDescent="0.3"/>
    <row r="993" ht="12.6" customHeight="1" x14ac:dyDescent="0.3"/>
    <row r="994" ht="12.6" customHeight="1" x14ac:dyDescent="0.3"/>
    <row r="995" ht="12.6" customHeight="1" x14ac:dyDescent="0.3"/>
    <row r="996" ht="12.6" customHeight="1" x14ac:dyDescent="0.3"/>
    <row r="997" ht="12.6" customHeight="1" x14ac:dyDescent="0.3"/>
    <row r="998" ht="12.6" customHeight="1" x14ac:dyDescent="0.3"/>
    <row r="999" ht="12.6" customHeight="1" x14ac:dyDescent="0.3"/>
    <row r="1000" ht="12.6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4140625" defaultRowHeight="14.4" x14ac:dyDescent="0.3"/>
  <cols>
    <col min="1" max="1" width="46" customWidth="1"/>
    <col min="2" max="3" width="16" customWidth="1"/>
    <col min="4" max="4" width="52" customWidth="1"/>
    <col min="5" max="8" width="15" customWidth="1"/>
    <col min="9" max="26" width="8.6640625" customWidth="1"/>
  </cols>
  <sheetData>
    <row r="1" spans="1:8" ht="19.2" customHeight="1" x14ac:dyDescent="0.3">
      <c r="A1" s="1" t="s">
        <v>33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34</v>
      </c>
    </row>
    <row r="4" spans="1:8" x14ac:dyDescent="0.3">
      <c r="A4" s="7" t="s">
        <v>35</v>
      </c>
      <c r="B4" s="10"/>
      <c r="C4" s="10"/>
      <c r="D4" s="10"/>
      <c r="E4" s="10"/>
      <c r="F4" s="10"/>
      <c r="G4" s="10"/>
      <c r="H4" s="10"/>
    </row>
    <row r="5" spans="1:8" x14ac:dyDescent="0.3">
      <c r="A5" s="6" t="s">
        <v>36</v>
      </c>
      <c r="B5" s="5" t="s">
        <v>37</v>
      </c>
      <c r="D5" s="3" t="s">
        <v>38</v>
      </c>
    </row>
    <row r="6" spans="1:8" x14ac:dyDescent="0.3">
      <c r="A6" s="6" t="s">
        <v>39</v>
      </c>
      <c r="B6" s="13" t="s">
        <v>40</v>
      </c>
      <c r="D6" s="3" t="s">
        <v>41</v>
      </c>
    </row>
    <row r="8" spans="1:8" x14ac:dyDescent="0.3">
      <c r="A8" s="7" t="s">
        <v>42</v>
      </c>
      <c r="B8" s="10"/>
      <c r="C8" s="10"/>
      <c r="D8" s="10"/>
      <c r="E8" s="10"/>
      <c r="F8" s="10"/>
      <c r="G8" s="10"/>
      <c r="H8" s="10"/>
    </row>
    <row r="9" spans="1:8" x14ac:dyDescent="0.3">
      <c r="A9" s="6" t="s">
        <v>43</v>
      </c>
      <c r="B9" s="15">
        <v>1000</v>
      </c>
      <c r="C9" s="3" t="s">
        <v>44</v>
      </c>
      <c r="D9" t="s">
        <v>45</v>
      </c>
    </row>
    <row r="10" spans="1:8" x14ac:dyDescent="0.3">
      <c r="A10" s="6" t="s">
        <v>46</v>
      </c>
      <c r="B10" s="16">
        <v>0.65</v>
      </c>
      <c r="D10" s="17" t="s">
        <v>47</v>
      </c>
    </row>
    <row r="11" spans="1:8" x14ac:dyDescent="0.3">
      <c r="A11" s="6" t="s">
        <v>48</v>
      </c>
      <c r="B11" s="19">
        <f>B9*B10</f>
        <v>650</v>
      </c>
      <c r="C11" s="3" t="s">
        <v>44</v>
      </c>
      <c r="D11" s="3" t="s">
        <v>49</v>
      </c>
    </row>
    <row r="12" spans="1:8" x14ac:dyDescent="0.3">
      <c r="A12" s="6" t="s">
        <v>50</v>
      </c>
      <c r="B12" s="19">
        <f>B9-B11</f>
        <v>350</v>
      </c>
      <c r="C12" s="3" t="s">
        <v>44</v>
      </c>
      <c r="D12" s="3" t="s">
        <v>51</v>
      </c>
    </row>
    <row r="14" spans="1:8" x14ac:dyDescent="0.3">
      <c r="A14" s="7" t="s">
        <v>52</v>
      </c>
      <c r="B14" s="10"/>
      <c r="C14" s="10"/>
      <c r="D14" s="10"/>
      <c r="E14" s="10"/>
      <c r="F14" s="10"/>
      <c r="G14" s="10"/>
      <c r="H14" s="10"/>
    </row>
    <row r="15" spans="1:8" x14ac:dyDescent="0.3">
      <c r="A15" s="6" t="s">
        <v>53</v>
      </c>
      <c r="B15" s="22">
        <v>1</v>
      </c>
      <c r="D15" s="3" t="s">
        <v>54</v>
      </c>
    </row>
    <row r="16" spans="1:8" x14ac:dyDescent="0.3">
      <c r="A16" s="6" t="s">
        <v>55</v>
      </c>
      <c r="B16" s="22">
        <v>5</v>
      </c>
    </row>
    <row r="17" spans="1:4" x14ac:dyDescent="0.3">
      <c r="A17" s="6" t="s">
        <v>56</v>
      </c>
      <c r="B17" s="22">
        <v>1.25</v>
      </c>
      <c r="D17" s="3" t="s">
        <v>57</v>
      </c>
    </row>
    <row r="18" spans="1:4" x14ac:dyDescent="0.3">
      <c r="A18" s="6" t="s">
        <v>58</v>
      </c>
      <c r="B18" s="22">
        <v>0.1</v>
      </c>
      <c r="D18" s="3" t="s">
        <v>59</v>
      </c>
    </row>
    <row r="19" spans="1:4" x14ac:dyDescent="0.3">
      <c r="A19" s="6" t="s">
        <v>60</v>
      </c>
      <c r="B19" s="15">
        <v>6</v>
      </c>
      <c r="C19" s="3" t="s">
        <v>61</v>
      </c>
    </row>
    <row r="20" spans="1:4" x14ac:dyDescent="0.3">
      <c r="A20" s="6" t="s">
        <v>62</v>
      </c>
      <c r="B20" s="15">
        <v>3000</v>
      </c>
      <c r="C20" s="3" t="s">
        <v>63</v>
      </c>
      <c r="D20" s="3" t="s">
        <v>64</v>
      </c>
    </row>
    <row r="21" spans="1:4" ht="12.6" customHeight="1" x14ac:dyDescent="0.3">
      <c r="A21" s="6" t="s">
        <v>65</v>
      </c>
      <c r="B21" s="15">
        <v>1000</v>
      </c>
      <c r="C21" s="3" t="s">
        <v>63</v>
      </c>
      <c r="D21" s="3" t="s">
        <v>66</v>
      </c>
    </row>
    <row r="22" spans="1:4" ht="12.6" customHeight="1" x14ac:dyDescent="0.3">
      <c r="A22" s="6" t="s">
        <v>67</v>
      </c>
      <c r="B22" s="15">
        <v>300</v>
      </c>
      <c r="C22" s="3" t="s">
        <v>63</v>
      </c>
    </row>
    <row r="23" spans="1:4" ht="12.6" customHeight="1" x14ac:dyDescent="0.3">
      <c r="A23" s="6" t="s">
        <v>68</v>
      </c>
      <c r="B23" s="24">
        <f>B20*B17/1000000</f>
        <v>3.7499999999999999E-3</v>
      </c>
    </row>
    <row r="24" spans="1:4" ht="12.6" customHeight="1" x14ac:dyDescent="0.3">
      <c r="A24" s="6" t="s">
        <v>69</v>
      </c>
      <c r="B24" s="24">
        <f>(B19-1)*B20*B18/1000000</f>
        <v>1.5E-3</v>
      </c>
    </row>
    <row r="25" spans="1:4" ht="12.6" customHeight="1" x14ac:dyDescent="0.3">
      <c r="A25" s="6" t="s">
        <v>70</v>
      </c>
      <c r="B25" s="24">
        <f>B19*B21*B15/1000000</f>
        <v>6.0000000000000001E-3</v>
      </c>
    </row>
    <row r="26" spans="1:4" ht="12.6" customHeight="1" x14ac:dyDescent="0.3">
      <c r="A26" s="6" t="s">
        <v>71</v>
      </c>
      <c r="B26" s="24">
        <f>B19*B22*B16/1000000</f>
        <v>8.9999999999999993E-3</v>
      </c>
    </row>
    <row r="27" spans="1:4" ht="12.6" customHeight="1" x14ac:dyDescent="0.3">
      <c r="A27" s="12" t="s">
        <v>72</v>
      </c>
      <c r="B27" s="23">
        <f>SUM(B23:B26)</f>
        <v>2.0249999999999997E-2</v>
      </c>
    </row>
    <row r="28" spans="1:4" ht="12.6" customHeight="1" x14ac:dyDescent="0.3">
      <c r="A28" s="6" t="s">
        <v>73</v>
      </c>
      <c r="B28" s="24">
        <f>B19*(B20+B21)*B15/1000000+B26</f>
        <v>3.3000000000000002E-2</v>
      </c>
    </row>
    <row r="29" spans="1:4" ht="12.6" customHeight="1" x14ac:dyDescent="0.3">
      <c r="A29" s="6" t="s">
        <v>74</v>
      </c>
      <c r="B29" s="28">
        <f>IF(B28=0,0,1-B27/B28)</f>
        <v>0.38636363636363646</v>
      </c>
      <c r="D29" s="3" t="s">
        <v>75</v>
      </c>
    </row>
    <row r="30" spans="1:4" ht="12.6" customHeight="1" x14ac:dyDescent="0.3">
      <c r="A30" s="6" t="s">
        <v>76</v>
      </c>
      <c r="B30" s="15">
        <v>0</v>
      </c>
      <c r="D30" s="3" t="s">
        <v>77</v>
      </c>
    </row>
    <row r="31" spans="1:4" ht="12.6" customHeight="1" x14ac:dyDescent="0.3">
      <c r="A31" s="12" t="s">
        <v>78</v>
      </c>
      <c r="B31" s="23">
        <f>B27*(1-B30*0.5)</f>
        <v>2.0249999999999997E-2</v>
      </c>
    </row>
    <row r="32" spans="1:4" ht="12.6" customHeight="1" x14ac:dyDescent="0.3"/>
    <row r="33" spans="1:8" ht="12.6" customHeight="1" x14ac:dyDescent="0.3">
      <c r="A33" s="7" t="s">
        <v>79</v>
      </c>
      <c r="B33" s="10"/>
      <c r="C33" s="10"/>
      <c r="D33" s="10"/>
      <c r="E33" s="10"/>
      <c r="F33" s="10"/>
      <c r="G33" s="10"/>
      <c r="H33" s="10"/>
    </row>
    <row r="34" spans="1:8" ht="12.6" customHeight="1" x14ac:dyDescent="0.3">
      <c r="A34" s="6" t="s">
        <v>80</v>
      </c>
      <c r="B34" s="29">
        <v>0</v>
      </c>
      <c r="D34" s="3" t="s">
        <v>81</v>
      </c>
    </row>
    <row r="35" spans="1:8" ht="12.6" customHeight="1" x14ac:dyDescent="0.3">
      <c r="A35" s="6" t="s">
        <v>82</v>
      </c>
      <c r="B35" s="21">
        <v>0</v>
      </c>
      <c r="C35" s="3" t="s">
        <v>83</v>
      </c>
    </row>
    <row r="36" spans="1:8" ht="12.6" customHeight="1" x14ac:dyDescent="0.3">
      <c r="A36" s="6" t="s">
        <v>84</v>
      </c>
      <c r="B36" s="22">
        <v>0</v>
      </c>
      <c r="D36" s="3" t="s">
        <v>85</v>
      </c>
    </row>
    <row r="37" spans="1:8" ht="12.6" customHeight="1" x14ac:dyDescent="0.3">
      <c r="A37" s="6" t="s">
        <v>86</v>
      </c>
      <c r="B37" s="15">
        <v>0</v>
      </c>
      <c r="C37" s="3" t="s">
        <v>87</v>
      </c>
      <c r="D37" s="3" t="s">
        <v>88</v>
      </c>
    </row>
    <row r="38" spans="1:8" ht="12.6" customHeight="1" x14ac:dyDescent="0.3">
      <c r="A38" s="6" t="s">
        <v>89</v>
      </c>
      <c r="B38" s="24">
        <f>B34*B35+B36*B37/1000000</f>
        <v>0</v>
      </c>
    </row>
    <row r="39" spans="1:8" ht="12.6" customHeight="1" x14ac:dyDescent="0.3"/>
    <row r="40" spans="1:8" ht="12.6" customHeight="1" x14ac:dyDescent="0.3">
      <c r="A40" s="7" t="s">
        <v>90</v>
      </c>
      <c r="B40" s="10"/>
      <c r="C40" s="10"/>
      <c r="D40" s="10"/>
      <c r="E40" s="10"/>
      <c r="F40" s="10"/>
      <c r="G40" s="10"/>
      <c r="H40" s="10"/>
    </row>
    <row r="41" spans="1:8" ht="12.6" customHeight="1" x14ac:dyDescent="0.3">
      <c r="A41" s="6" t="s">
        <v>91</v>
      </c>
      <c r="B41" s="29">
        <v>8.0000000000000002E-3</v>
      </c>
      <c r="D41" s="3" t="s">
        <v>92</v>
      </c>
    </row>
    <row r="42" spans="1:8" ht="12.6" customHeight="1" x14ac:dyDescent="0.3">
      <c r="A42" s="6" t="s">
        <v>93</v>
      </c>
      <c r="B42" s="29">
        <v>0</v>
      </c>
      <c r="D42" t="s">
        <v>94</v>
      </c>
    </row>
    <row r="43" spans="1:8" ht="12.6" customHeight="1" x14ac:dyDescent="0.3">
      <c r="A43" s="6" t="s">
        <v>95</v>
      </c>
      <c r="B43" s="24">
        <f>B41+B42*B35</f>
        <v>8.0000000000000002E-3</v>
      </c>
    </row>
    <row r="44" spans="1:8" ht="12.6" customHeight="1" x14ac:dyDescent="0.3"/>
    <row r="45" spans="1:8" ht="12.6" customHeight="1" x14ac:dyDescent="0.3">
      <c r="A45" s="7" t="s">
        <v>96</v>
      </c>
      <c r="B45" s="10"/>
      <c r="C45" s="10"/>
      <c r="D45" s="10"/>
      <c r="E45" s="10"/>
      <c r="F45" s="10"/>
      <c r="G45" s="10"/>
      <c r="H45" s="10"/>
    </row>
    <row r="46" spans="1:8" ht="12.6" customHeight="1" x14ac:dyDescent="0.3">
      <c r="A46" s="6" t="s">
        <v>97</v>
      </c>
      <c r="B46" s="16">
        <v>0.1</v>
      </c>
      <c r="D46" s="3" t="s">
        <v>98</v>
      </c>
    </row>
    <row r="47" spans="1:8" ht="12.6" customHeight="1" x14ac:dyDescent="0.3">
      <c r="A47" s="6" t="s">
        <v>99</v>
      </c>
      <c r="B47" s="24">
        <f>(B31+B38)*B46</f>
        <v>2.0249999999999999E-3</v>
      </c>
    </row>
    <row r="48" spans="1:8" ht="12.6" customHeight="1" x14ac:dyDescent="0.3"/>
    <row r="49" spans="1:8" ht="12.6" customHeight="1" x14ac:dyDescent="0.3">
      <c r="A49" s="7" t="s">
        <v>100</v>
      </c>
      <c r="B49" s="10"/>
      <c r="C49" s="10"/>
      <c r="D49" s="10"/>
      <c r="E49" s="10"/>
      <c r="F49" s="10"/>
      <c r="G49" s="10"/>
      <c r="H49" s="10"/>
    </row>
    <row r="50" spans="1:8" ht="12.6" customHeight="1" x14ac:dyDescent="0.3">
      <c r="A50" s="6" t="s">
        <v>101</v>
      </c>
      <c r="B50" s="22">
        <v>8</v>
      </c>
      <c r="D50" s="3" t="s">
        <v>102</v>
      </c>
    </row>
    <row r="51" spans="1:8" ht="12.6" customHeight="1" x14ac:dyDescent="0.3">
      <c r="A51" s="6" t="s">
        <v>103</v>
      </c>
      <c r="B51" s="16">
        <v>7.0000000000000007E-2</v>
      </c>
      <c r="D51" s="3" t="s">
        <v>104</v>
      </c>
    </row>
    <row r="52" spans="1:8" ht="12.6" customHeight="1" x14ac:dyDescent="0.3">
      <c r="A52" s="6" t="s">
        <v>105</v>
      </c>
      <c r="B52" s="21">
        <v>2</v>
      </c>
      <c r="C52" s="3" t="s">
        <v>83</v>
      </c>
    </row>
    <row r="53" spans="1:8" ht="12.6" customHeight="1" x14ac:dyDescent="0.3">
      <c r="A53" s="6" t="s">
        <v>106</v>
      </c>
      <c r="B53" s="21">
        <v>6</v>
      </c>
      <c r="C53" s="3" t="s">
        <v>83</v>
      </c>
    </row>
    <row r="54" spans="1:8" ht="12.6" customHeight="1" x14ac:dyDescent="0.3">
      <c r="A54" s="6" t="s">
        <v>107</v>
      </c>
      <c r="B54" s="32">
        <f>B9*B51*(B52/60)*B50</f>
        <v>18.666666666666668</v>
      </c>
    </row>
    <row r="55" spans="1:8" ht="12.6" customHeight="1" x14ac:dyDescent="0.3">
      <c r="A55" s="6" t="s">
        <v>108</v>
      </c>
      <c r="B55" s="32">
        <f>IF(B6="B",B12*(B53/60)*B50,0)</f>
        <v>0</v>
      </c>
      <c r="D55" s="3" t="s">
        <v>109</v>
      </c>
    </row>
    <row r="56" spans="1:8" ht="12.6" customHeight="1" x14ac:dyDescent="0.3">
      <c r="A56" s="12" t="s">
        <v>110</v>
      </c>
      <c r="B56" s="33">
        <f>B54+B55</f>
        <v>18.666666666666668</v>
      </c>
    </row>
    <row r="57" spans="1:8" ht="12.6" customHeight="1" x14ac:dyDescent="0.3"/>
    <row r="58" spans="1:8" ht="12.6" customHeight="1" x14ac:dyDescent="0.3">
      <c r="A58" s="7" t="s">
        <v>111</v>
      </c>
      <c r="B58" s="10"/>
      <c r="C58" s="10"/>
      <c r="D58" s="10"/>
      <c r="E58" s="10"/>
      <c r="F58" s="10"/>
      <c r="G58" s="10"/>
      <c r="H58" s="10"/>
    </row>
    <row r="59" spans="1:8" ht="12.6" customHeight="1" x14ac:dyDescent="0.3">
      <c r="A59" s="6" t="s">
        <v>112</v>
      </c>
      <c r="B59" s="22">
        <v>40</v>
      </c>
      <c r="D59" s="3" t="s">
        <v>113</v>
      </c>
    </row>
    <row r="60" spans="1:8" ht="12.6" customHeight="1" x14ac:dyDescent="0.3">
      <c r="D60" t="s">
        <v>114</v>
      </c>
    </row>
    <row r="61" spans="1:8" ht="12.6" customHeight="1" x14ac:dyDescent="0.3">
      <c r="A61" s="7" t="s">
        <v>115</v>
      </c>
      <c r="B61" s="10"/>
      <c r="C61" s="10"/>
      <c r="D61" s="10"/>
      <c r="E61" s="10"/>
      <c r="F61" s="10"/>
      <c r="G61" s="10"/>
      <c r="H61" s="10"/>
    </row>
    <row r="62" spans="1:8" ht="12.6" customHeight="1" x14ac:dyDescent="0.3">
      <c r="A62" s="6" t="s">
        <v>116</v>
      </c>
      <c r="B62" s="32">
        <f>B9*(B31+B38+B43+B47)</f>
        <v>30.274999999999995</v>
      </c>
    </row>
    <row r="63" spans="1:8" ht="12.6" customHeight="1" x14ac:dyDescent="0.3">
      <c r="A63" s="6" t="s">
        <v>117</v>
      </c>
      <c r="B63" s="32">
        <f>B56</f>
        <v>18.666666666666668</v>
      </c>
    </row>
    <row r="64" spans="1:8" ht="12.6" customHeight="1" x14ac:dyDescent="0.3">
      <c r="A64" s="6" t="s">
        <v>118</v>
      </c>
      <c r="B64" s="32">
        <f>B59</f>
        <v>40</v>
      </c>
    </row>
    <row r="65" spans="1:8" ht="12.6" customHeight="1" x14ac:dyDescent="0.3">
      <c r="A65" s="6" t="s">
        <v>119</v>
      </c>
      <c r="B65" s="32">
        <f>B62+B63+B64</f>
        <v>88.941666666666663</v>
      </c>
      <c r="D65" t="s">
        <v>120</v>
      </c>
    </row>
    <row r="66" spans="1:8" ht="12.6" customHeight="1" x14ac:dyDescent="0.3">
      <c r="A66" s="12" t="s">
        <v>121</v>
      </c>
      <c r="B66" s="23">
        <f>IF(B11=0,0,(B62+B63)/B11)</f>
        <v>7.5294871794871793E-2</v>
      </c>
      <c r="C66" s="3" t="s">
        <v>122</v>
      </c>
      <c r="D66" s="3" t="s">
        <v>123</v>
      </c>
    </row>
    <row r="67" spans="1:8" ht="12.6" customHeight="1" x14ac:dyDescent="0.3">
      <c r="A67" s="12" t="s">
        <v>124</v>
      </c>
      <c r="B67" s="23">
        <f>IF(B11=0,0,B65/B11)</f>
        <v>0.13683333333333333</v>
      </c>
      <c r="C67" s="3" t="s">
        <v>122</v>
      </c>
    </row>
    <row r="68" spans="1:8" ht="12.6" customHeight="1" x14ac:dyDescent="0.3">
      <c r="A68" s="6" t="s">
        <v>125</v>
      </c>
      <c r="B68" s="15">
        <v>26000</v>
      </c>
      <c r="C68" s="3" t="s">
        <v>126</v>
      </c>
      <c r="D68" s="3" t="s">
        <v>127</v>
      </c>
    </row>
    <row r="69" spans="1:8" ht="12.6" customHeight="1" x14ac:dyDescent="0.3">
      <c r="A69" s="6" t="s">
        <v>128</v>
      </c>
      <c r="B69" s="36">
        <f>B66*B68</f>
        <v>1957.6666666666665</v>
      </c>
      <c r="C69" s="3" t="s">
        <v>129</v>
      </c>
    </row>
    <row r="70" spans="1:8" ht="12.6" customHeight="1" x14ac:dyDescent="0.3"/>
    <row r="71" spans="1:8" ht="12.6" customHeight="1" x14ac:dyDescent="0.3">
      <c r="A71" s="7" t="s">
        <v>130</v>
      </c>
      <c r="B71" s="10"/>
      <c r="C71" s="10"/>
      <c r="D71" s="10" t="s">
        <v>131</v>
      </c>
      <c r="E71" s="10"/>
      <c r="F71" s="10"/>
      <c r="G71" s="10"/>
      <c r="H71" s="10"/>
    </row>
    <row r="72" spans="1:8" ht="12.6" customHeight="1" x14ac:dyDescent="0.3">
      <c r="A72" s="6" t="s">
        <v>132</v>
      </c>
      <c r="B72" s="32">
        <f>B9*B31</f>
        <v>20.249999999999996</v>
      </c>
      <c r="C72" s="28">
        <f t="shared" ref="C72:C77" si="0">IF(SUM($B$72:$B$77)=0,0,B72/SUM($B$72:$B$77))</f>
        <v>0.22767731659327273</v>
      </c>
    </row>
    <row r="73" spans="1:8" ht="12.6" customHeight="1" x14ac:dyDescent="0.3">
      <c r="A73" s="6" t="s">
        <v>133</v>
      </c>
      <c r="B73" s="32">
        <f>B9*B38</f>
        <v>0</v>
      </c>
      <c r="C73" s="28">
        <f t="shared" si="0"/>
        <v>0</v>
      </c>
    </row>
    <row r="74" spans="1:8" ht="12.6" customHeight="1" x14ac:dyDescent="0.3">
      <c r="A74" s="6" t="s">
        <v>134</v>
      </c>
      <c r="B74" s="32">
        <f>B9*B43</f>
        <v>8</v>
      </c>
      <c r="C74" s="28">
        <f t="shared" si="0"/>
        <v>8.9946594209688008E-2</v>
      </c>
    </row>
    <row r="75" spans="1:8" ht="12.6" customHeight="1" x14ac:dyDescent="0.3">
      <c r="A75" s="6" t="s">
        <v>135</v>
      </c>
      <c r="B75" s="32">
        <f>B9*B47</f>
        <v>2.0249999999999999</v>
      </c>
      <c r="C75" s="28">
        <f t="shared" si="0"/>
        <v>2.2767731659327273E-2</v>
      </c>
    </row>
    <row r="76" spans="1:8" ht="12.6" customHeight="1" x14ac:dyDescent="0.3">
      <c r="A76" s="6" t="s">
        <v>136</v>
      </c>
      <c r="B76" s="32">
        <f>B56</f>
        <v>18.666666666666668</v>
      </c>
      <c r="C76" s="28">
        <f t="shared" si="0"/>
        <v>0.20987538648927201</v>
      </c>
    </row>
    <row r="77" spans="1:8" ht="12.6" customHeight="1" x14ac:dyDescent="0.3">
      <c r="A77" s="6" t="s">
        <v>137</v>
      </c>
      <c r="B77" s="32">
        <f>B59</f>
        <v>40</v>
      </c>
      <c r="C77" s="28">
        <f t="shared" si="0"/>
        <v>0.44973297104844001</v>
      </c>
    </row>
    <row r="78" spans="1:8" ht="12.6" customHeight="1" x14ac:dyDescent="0.3">
      <c r="A78" s="3" t="s">
        <v>138</v>
      </c>
    </row>
    <row r="79" spans="1:8" ht="12.6" customHeight="1" x14ac:dyDescent="0.3"/>
    <row r="80" spans="1:8" ht="12.6" customHeight="1" x14ac:dyDescent="0.3"/>
    <row r="81" ht="12.6" customHeight="1" x14ac:dyDescent="0.3"/>
    <row r="82" ht="12.6" customHeight="1" x14ac:dyDescent="0.3"/>
    <row r="83" ht="12.6" customHeight="1" x14ac:dyDescent="0.3"/>
    <row r="84" ht="12.6" customHeight="1" x14ac:dyDescent="0.3"/>
    <row r="85" ht="12.6" customHeight="1" x14ac:dyDescent="0.3"/>
    <row r="86" ht="12.6" customHeight="1" x14ac:dyDescent="0.3"/>
    <row r="87" ht="12.6" customHeight="1" x14ac:dyDescent="0.3"/>
    <row r="88" ht="12.6" customHeight="1" x14ac:dyDescent="0.3"/>
    <row r="89" ht="12.6" customHeight="1" x14ac:dyDescent="0.3"/>
    <row r="90" ht="12.6" customHeight="1" x14ac:dyDescent="0.3"/>
    <row r="91" ht="12.6" customHeight="1" x14ac:dyDescent="0.3"/>
    <row r="92" ht="12.6" customHeight="1" x14ac:dyDescent="0.3"/>
    <row r="93" ht="12.6" customHeight="1" x14ac:dyDescent="0.3"/>
    <row r="94" ht="12.6" customHeight="1" x14ac:dyDescent="0.3"/>
    <row r="95" ht="12.6" customHeight="1" x14ac:dyDescent="0.3"/>
    <row r="96" ht="12.6" customHeight="1" x14ac:dyDescent="0.3"/>
    <row r="97" ht="12.6" customHeight="1" x14ac:dyDescent="0.3"/>
    <row r="98" ht="12.6" customHeight="1" x14ac:dyDescent="0.3"/>
    <row r="99" ht="12.6" customHeight="1" x14ac:dyDescent="0.3"/>
    <row r="100" ht="12.6" customHeight="1" x14ac:dyDescent="0.3"/>
    <row r="101" ht="12.6" customHeight="1" x14ac:dyDescent="0.3"/>
    <row r="102" ht="12.6" customHeight="1" x14ac:dyDescent="0.3"/>
    <row r="103" ht="12.6" customHeight="1" x14ac:dyDescent="0.3"/>
    <row r="104" ht="12.6" customHeight="1" x14ac:dyDescent="0.3"/>
    <row r="105" ht="12.6" customHeight="1" x14ac:dyDescent="0.3"/>
    <row r="106" ht="12.6" customHeight="1" x14ac:dyDescent="0.3"/>
    <row r="107" ht="12.6" customHeight="1" x14ac:dyDescent="0.3"/>
    <row r="108" ht="12.6" customHeight="1" x14ac:dyDescent="0.3"/>
    <row r="109" ht="12.6" customHeight="1" x14ac:dyDescent="0.3"/>
    <row r="110" ht="12.6" customHeight="1" x14ac:dyDescent="0.3"/>
    <row r="111" ht="12.6" customHeight="1" x14ac:dyDescent="0.3"/>
    <row r="112" ht="12.6" customHeight="1" x14ac:dyDescent="0.3"/>
    <row r="113" ht="12.6" customHeight="1" x14ac:dyDescent="0.3"/>
    <row r="114" ht="12.6" customHeight="1" x14ac:dyDescent="0.3"/>
    <row r="115" ht="12.6" customHeight="1" x14ac:dyDescent="0.3"/>
    <row r="116" ht="12.6" customHeight="1" x14ac:dyDescent="0.3"/>
    <row r="117" ht="12.6" customHeight="1" x14ac:dyDescent="0.3"/>
    <row r="118" ht="12.6" customHeight="1" x14ac:dyDescent="0.3"/>
    <row r="119" ht="12.6" customHeight="1" x14ac:dyDescent="0.3"/>
    <row r="120" ht="12.6" customHeight="1" x14ac:dyDescent="0.3"/>
    <row r="121" ht="12.6" customHeight="1" x14ac:dyDescent="0.3"/>
    <row r="122" ht="12.6" customHeight="1" x14ac:dyDescent="0.3"/>
    <row r="123" ht="12.6" customHeight="1" x14ac:dyDescent="0.3"/>
    <row r="124" ht="12.6" customHeight="1" x14ac:dyDescent="0.3"/>
    <row r="125" ht="12.6" customHeight="1" x14ac:dyDescent="0.3"/>
    <row r="126" ht="12.6" customHeight="1" x14ac:dyDescent="0.3"/>
    <row r="127" ht="12.6" customHeight="1" x14ac:dyDescent="0.3"/>
    <row r="128" ht="12.6" customHeight="1" x14ac:dyDescent="0.3"/>
    <row r="129" ht="12.6" customHeight="1" x14ac:dyDescent="0.3"/>
    <row r="130" ht="12.6" customHeight="1" x14ac:dyDescent="0.3"/>
    <row r="131" ht="12.6" customHeight="1" x14ac:dyDescent="0.3"/>
    <row r="132" ht="12.6" customHeight="1" x14ac:dyDescent="0.3"/>
    <row r="133" ht="12.6" customHeight="1" x14ac:dyDescent="0.3"/>
    <row r="134" ht="12.6" customHeight="1" x14ac:dyDescent="0.3"/>
    <row r="135" ht="12.6" customHeight="1" x14ac:dyDescent="0.3"/>
    <row r="136" ht="12.6" customHeight="1" x14ac:dyDescent="0.3"/>
    <row r="137" ht="12.6" customHeight="1" x14ac:dyDescent="0.3"/>
    <row r="138" ht="12.6" customHeight="1" x14ac:dyDescent="0.3"/>
    <row r="139" ht="12.6" customHeight="1" x14ac:dyDescent="0.3"/>
    <row r="140" ht="12.6" customHeight="1" x14ac:dyDescent="0.3"/>
    <row r="141" ht="12.6" customHeight="1" x14ac:dyDescent="0.3"/>
    <row r="142" ht="12.6" customHeight="1" x14ac:dyDescent="0.3"/>
    <row r="143" ht="12.6" customHeight="1" x14ac:dyDescent="0.3"/>
    <row r="144" ht="12.6" customHeight="1" x14ac:dyDescent="0.3"/>
    <row r="145" ht="12.6" customHeight="1" x14ac:dyDescent="0.3"/>
    <row r="146" ht="12.6" customHeight="1" x14ac:dyDescent="0.3"/>
    <row r="147" ht="12.6" customHeight="1" x14ac:dyDescent="0.3"/>
    <row r="148" ht="12.6" customHeight="1" x14ac:dyDescent="0.3"/>
    <row r="149" ht="12.6" customHeight="1" x14ac:dyDescent="0.3"/>
    <row r="150" ht="12.6" customHeight="1" x14ac:dyDescent="0.3"/>
    <row r="151" ht="12.6" customHeight="1" x14ac:dyDescent="0.3"/>
    <row r="152" ht="12.6" customHeight="1" x14ac:dyDescent="0.3"/>
    <row r="153" ht="12.6" customHeight="1" x14ac:dyDescent="0.3"/>
    <row r="154" ht="12.6" customHeight="1" x14ac:dyDescent="0.3"/>
    <row r="155" ht="12.6" customHeight="1" x14ac:dyDescent="0.3"/>
    <row r="156" ht="12.6" customHeight="1" x14ac:dyDescent="0.3"/>
    <row r="157" ht="12.6" customHeight="1" x14ac:dyDescent="0.3"/>
    <row r="158" ht="12.6" customHeight="1" x14ac:dyDescent="0.3"/>
    <row r="159" ht="12.6" customHeight="1" x14ac:dyDescent="0.3"/>
    <row r="160" ht="12.6" customHeight="1" x14ac:dyDescent="0.3"/>
    <row r="161" ht="12.6" customHeight="1" x14ac:dyDescent="0.3"/>
    <row r="162" ht="12.6" customHeight="1" x14ac:dyDescent="0.3"/>
    <row r="163" ht="12.6" customHeight="1" x14ac:dyDescent="0.3"/>
    <row r="164" ht="12.6" customHeight="1" x14ac:dyDescent="0.3"/>
    <row r="165" ht="12.6" customHeight="1" x14ac:dyDescent="0.3"/>
    <row r="166" ht="12.6" customHeight="1" x14ac:dyDescent="0.3"/>
    <row r="167" ht="12.6" customHeight="1" x14ac:dyDescent="0.3"/>
    <row r="168" ht="12.6" customHeight="1" x14ac:dyDescent="0.3"/>
    <row r="169" ht="12.6" customHeight="1" x14ac:dyDescent="0.3"/>
    <row r="170" ht="12.6" customHeight="1" x14ac:dyDescent="0.3"/>
    <row r="171" ht="12.6" customHeight="1" x14ac:dyDescent="0.3"/>
    <row r="172" ht="12.6" customHeight="1" x14ac:dyDescent="0.3"/>
    <row r="173" ht="12.6" customHeight="1" x14ac:dyDescent="0.3"/>
    <row r="174" ht="12.6" customHeight="1" x14ac:dyDescent="0.3"/>
    <row r="175" ht="12.6" customHeight="1" x14ac:dyDescent="0.3"/>
    <row r="176" ht="12.6" customHeight="1" x14ac:dyDescent="0.3"/>
    <row r="177" ht="12.6" customHeight="1" x14ac:dyDescent="0.3"/>
    <row r="178" ht="12.6" customHeight="1" x14ac:dyDescent="0.3"/>
    <row r="179" ht="12.6" customHeight="1" x14ac:dyDescent="0.3"/>
    <row r="180" ht="12.6" customHeight="1" x14ac:dyDescent="0.3"/>
    <row r="181" ht="12.6" customHeight="1" x14ac:dyDescent="0.3"/>
    <row r="182" ht="12.6" customHeight="1" x14ac:dyDescent="0.3"/>
    <row r="183" ht="12.6" customHeight="1" x14ac:dyDescent="0.3"/>
    <row r="184" ht="12.6" customHeight="1" x14ac:dyDescent="0.3"/>
    <row r="185" ht="12.6" customHeight="1" x14ac:dyDescent="0.3"/>
    <row r="186" ht="12.6" customHeight="1" x14ac:dyDescent="0.3"/>
    <row r="187" ht="12.6" customHeight="1" x14ac:dyDescent="0.3"/>
    <row r="188" ht="12.6" customHeight="1" x14ac:dyDescent="0.3"/>
    <row r="189" ht="12.6" customHeight="1" x14ac:dyDescent="0.3"/>
    <row r="190" ht="12.6" customHeight="1" x14ac:dyDescent="0.3"/>
    <row r="191" ht="12.6" customHeight="1" x14ac:dyDescent="0.3"/>
    <row r="192" ht="12.6" customHeight="1" x14ac:dyDescent="0.3"/>
    <row r="193" ht="12.6" customHeight="1" x14ac:dyDescent="0.3"/>
    <row r="194" ht="12.6" customHeight="1" x14ac:dyDescent="0.3"/>
    <row r="195" ht="12.6" customHeight="1" x14ac:dyDescent="0.3"/>
    <row r="196" ht="12.6" customHeight="1" x14ac:dyDescent="0.3"/>
    <row r="197" ht="12.6" customHeight="1" x14ac:dyDescent="0.3"/>
    <row r="198" ht="12.6" customHeight="1" x14ac:dyDescent="0.3"/>
    <row r="199" ht="12.6" customHeight="1" x14ac:dyDescent="0.3"/>
    <row r="200" ht="12.6" customHeight="1" x14ac:dyDescent="0.3"/>
    <row r="201" ht="12.6" customHeight="1" x14ac:dyDescent="0.3"/>
    <row r="202" ht="12.6" customHeight="1" x14ac:dyDescent="0.3"/>
    <row r="203" ht="12.6" customHeight="1" x14ac:dyDescent="0.3"/>
    <row r="204" ht="12.6" customHeight="1" x14ac:dyDescent="0.3"/>
    <row r="205" ht="12.6" customHeight="1" x14ac:dyDescent="0.3"/>
    <row r="206" ht="12.6" customHeight="1" x14ac:dyDescent="0.3"/>
    <row r="207" ht="12.6" customHeight="1" x14ac:dyDescent="0.3"/>
    <row r="208" ht="12.6" customHeight="1" x14ac:dyDescent="0.3"/>
    <row r="209" ht="12.6" customHeight="1" x14ac:dyDescent="0.3"/>
    <row r="210" ht="12.6" customHeight="1" x14ac:dyDescent="0.3"/>
    <row r="211" ht="12.6" customHeight="1" x14ac:dyDescent="0.3"/>
    <row r="212" ht="12.6" customHeight="1" x14ac:dyDescent="0.3"/>
    <row r="213" ht="12.6" customHeight="1" x14ac:dyDescent="0.3"/>
    <row r="214" ht="12.6" customHeight="1" x14ac:dyDescent="0.3"/>
    <row r="215" ht="12.6" customHeight="1" x14ac:dyDescent="0.3"/>
    <row r="216" ht="12.6" customHeight="1" x14ac:dyDescent="0.3"/>
    <row r="217" ht="12.6" customHeight="1" x14ac:dyDescent="0.3"/>
    <row r="218" ht="12.6" customHeight="1" x14ac:dyDescent="0.3"/>
    <row r="219" ht="12.6" customHeight="1" x14ac:dyDescent="0.3"/>
    <row r="220" ht="12.6" customHeight="1" x14ac:dyDescent="0.3"/>
    <row r="221" ht="12.6" customHeight="1" x14ac:dyDescent="0.3"/>
    <row r="222" ht="12.6" customHeight="1" x14ac:dyDescent="0.3"/>
    <row r="223" ht="12.6" customHeight="1" x14ac:dyDescent="0.3"/>
    <row r="224" ht="12.6" customHeight="1" x14ac:dyDescent="0.3"/>
    <row r="225" ht="12.6" customHeight="1" x14ac:dyDescent="0.3"/>
    <row r="226" ht="12.6" customHeight="1" x14ac:dyDescent="0.3"/>
    <row r="227" ht="12.6" customHeight="1" x14ac:dyDescent="0.3"/>
    <row r="228" ht="12.6" customHeight="1" x14ac:dyDescent="0.3"/>
    <row r="229" ht="12.6" customHeight="1" x14ac:dyDescent="0.3"/>
    <row r="230" ht="12.6" customHeight="1" x14ac:dyDescent="0.3"/>
    <row r="231" ht="12.6" customHeight="1" x14ac:dyDescent="0.3"/>
    <row r="232" ht="12.6" customHeight="1" x14ac:dyDescent="0.3"/>
    <row r="233" ht="12.6" customHeight="1" x14ac:dyDescent="0.3"/>
    <row r="234" ht="12.6" customHeight="1" x14ac:dyDescent="0.3"/>
    <row r="235" ht="12.6" customHeight="1" x14ac:dyDescent="0.3"/>
    <row r="236" ht="12.6" customHeight="1" x14ac:dyDescent="0.3"/>
    <row r="237" ht="12.6" customHeight="1" x14ac:dyDescent="0.3"/>
    <row r="238" ht="12.6" customHeight="1" x14ac:dyDescent="0.3"/>
    <row r="239" ht="12.6" customHeight="1" x14ac:dyDescent="0.3"/>
    <row r="240" ht="12.6" customHeight="1" x14ac:dyDescent="0.3"/>
    <row r="241" ht="12.6" customHeight="1" x14ac:dyDescent="0.3"/>
    <row r="242" ht="12.6" customHeight="1" x14ac:dyDescent="0.3"/>
    <row r="243" ht="12.6" customHeight="1" x14ac:dyDescent="0.3"/>
    <row r="244" ht="12.6" customHeight="1" x14ac:dyDescent="0.3"/>
    <row r="245" ht="12.6" customHeight="1" x14ac:dyDescent="0.3"/>
    <row r="246" ht="12.6" customHeight="1" x14ac:dyDescent="0.3"/>
    <row r="247" ht="12.6" customHeight="1" x14ac:dyDescent="0.3"/>
    <row r="248" ht="12.6" customHeight="1" x14ac:dyDescent="0.3"/>
    <row r="249" ht="12.6" customHeight="1" x14ac:dyDescent="0.3"/>
    <row r="250" ht="12.6" customHeight="1" x14ac:dyDescent="0.3"/>
    <row r="251" ht="12.6" customHeight="1" x14ac:dyDescent="0.3"/>
    <row r="252" ht="12.6" customHeight="1" x14ac:dyDescent="0.3"/>
    <row r="253" ht="12.6" customHeight="1" x14ac:dyDescent="0.3"/>
    <row r="254" ht="12.6" customHeight="1" x14ac:dyDescent="0.3"/>
    <row r="255" ht="12.6" customHeight="1" x14ac:dyDescent="0.3"/>
    <row r="256" ht="12.6" customHeight="1" x14ac:dyDescent="0.3"/>
    <row r="257" ht="12.6" customHeight="1" x14ac:dyDescent="0.3"/>
    <row r="258" ht="12.6" customHeight="1" x14ac:dyDescent="0.3"/>
    <row r="259" ht="12.6" customHeight="1" x14ac:dyDescent="0.3"/>
    <row r="260" ht="12.6" customHeight="1" x14ac:dyDescent="0.3"/>
    <row r="261" ht="12.6" customHeight="1" x14ac:dyDescent="0.3"/>
    <row r="262" ht="12.6" customHeight="1" x14ac:dyDescent="0.3"/>
    <row r="263" ht="12.6" customHeight="1" x14ac:dyDescent="0.3"/>
    <row r="264" ht="12.6" customHeight="1" x14ac:dyDescent="0.3"/>
    <row r="265" ht="12.6" customHeight="1" x14ac:dyDescent="0.3"/>
    <row r="266" ht="12.6" customHeight="1" x14ac:dyDescent="0.3"/>
    <row r="267" ht="12.6" customHeight="1" x14ac:dyDescent="0.3"/>
    <row r="268" ht="12.6" customHeight="1" x14ac:dyDescent="0.3"/>
    <row r="269" ht="12.6" customHeight="1" x14ac:dyDescent="0.3"/>
    <row r="270" ht="12.6" customHeight="1" x14ac:dyDescent="0.3"/>
    <row r="271" ht="12.6" customHeight="1" x14ac:dyDescent="0.3"/>
    <row r="272" ht="12.6" customHeight="1" x14ac:dyDescent="0.3"/>
    <row r="273" ht="12.6" customHeight="1" x14ac:dyDescent="0.3"/>
    <row r="274" ht="12.6" customHeight="1" x14ac:dyDescent="0.3"/>
    <row r="275" ht="12.6" customHeight="1" x14ac:dyDescent="0.3"/>
    <row r="276" ht="12.6" customHeight="1" x14ac:dyDescent="0.3"/>
    <row r="277" ht="12.6" customHeight="1" x14ac:dyDescent="0.3"/>
    <row r="278" ht="12.6" customHeight="1" x14ac:dyDescent="0.3"/>
    <row r="279" ht="12.6" customHeight="1" x14ac:dyDescent="0.3"/>
    <row r="280" ht="12.6" customHeight="1" x14ac:dyDescent="0.3"/>
    <row r="281" ht="12.6" customHeight="1" x14ac:dyDescent="0.3"/>
    <row r="282" ht="12.6" customHeight="1" x14ac:dyDescent="0.3"/>
    <row r="283" ht="12.6" customHeight="1" x14ac:dyDescent="0.3"/>
    <row r="284" ht="12.6" customHeight="1" x14ac:dyDescent="0.3"/>
    <row r="285" ht="12.6" customHeight="1" x14ac:dyDescent="0.3"/>
    <row r="286" ht="12.6" customHeight="1" x14ac:dyDescent="0.3"/>
    <row r="287" ht="12.6" customHeight="1" x14ac:dyDescent="0.3"/>
    <row r="288" ht="12.6" customHeight="1" x14ac:dyDescent="0.3"/>
    <row r="289" ht="12.6" customHeight="1" x14ac:dyDescent="0.3"/>
    <row r="290" ht="12.6" customHeight="1" x14ac:dyDescent="0.3"/>
    <row r="291" ht="12.6" customHeight="1" x14ac:dyDescent="0.3"/>
    <row r="292" ht="12.6" customHeight="1" x14ac:dyDescent="0.3"/>
    <row r="293" ht="12.6" customHeight="1" x14ac:dyDescent="0.3"/>
    <row r="294" ht="12.6" customHeight="1" x14ac:dyDescent="0.3"/>
    <row r="295" ht="12.6" customHeight="1" x14ac:dyDescent="0.3"/>
    <row r="296" ht="12.6" customHeight="1" x14ac:dyDescent="0.3"/>
    <row r="297" ht="12.6" customHeight="1" x14ac:dyDescent="0.3"/>
    <row r="298" ht="12.6" customHeight="1" x14ac:dyDescent="0.3"/>
    <row r="299" ht="12.6" customHeight="1" x14ac:dyDescent="0.3"/>
    <row r="300" ht="12.6" customHeight="1" x14ac:dyDescent="0.3"/>
    <row r="301" ht="12.6" customHeight="1" x14ac:dyDescent="0.3"/>
    <row r="302" ht="12.6" customHeight="1" x14ac:dyDescent="0.3"/>
    <row r="303" ht="12.6" customHeight="1" x14ac:dyDescent="0.3"/>
    <row r="304" ht="12.6" customHeight="1" x14ac:dyDescent="0.3"/>
    <row r="305" ht="12.6" customHeight="1" x14ac:dyDescent="0.3"/>
    <row r="306" ht="12.6" customHeight="1" x14ac:dyDescent="0.3"/>
    <row r="307" ht="12.6" customHeight="1" x14ac:dyDescent="0.3"/>
    <row r="308" ht="12.6" customHeight="1" x14ac:dyDescent="0.3"/>
    <row r="309" ht="12.6" customHeight="1" x14ac:dyDescent="0.3"/>
    <row r="310" ht="12.6" customHeight="1" x14ac:dyDescent="0.3"/>
    <row r="311" ht="12.6" customHeight="1" x14ac:dyDescent="0.3"/>
    <row r="312" ht="12.6" customHeight="1" x14ac:dyDescent="0.3"/>
    <row r="313" ht="12.6" customHeight="1" x14ac:dyDescent="0.3"/>
    <row r="314" ht="12.6" customHeight="1" x14ac:dyDescent="0.3"/>
    <row r="315" ht="12.6" customHeight="1" x14ac:dyDescent="0.3"/>
    <row r="316" ht="12.6" customHeight="1" x14ac:dyDescent="0.3"/>
    <row r="317" ht="12.6" customHeight="1" x14ac:dyDescent="0.3"/>
    <row r="318" ht="12.6" customHeight="1" x14ac:dyDescent="0.3"/>
    <row r="319" ht="12.6" customHeight="1" x14ac:dyDescent="0.3"/>
    <row r="320" ht="12.6" customHeight="1" x14ac:dyDescent="0.3"/>
    <row r="321" ht="12.6" customHeight="1" x14ac:dyDescent="0.3"/>
    <row r="322" ht="12.6" customHeight="1" x14ac:dyDescent="0.3"/>
    <row r="323" ht="12.6" customHeight="1" x14ac:dyDescent="0.3"/>
    <row r="324" ht="12.6" customHeight="1" x14ac:dyDescent="0.3"/>
    <row r="325" ht="12.6" customHeight="1" x14ac:dyDescent="0.3"/>
    <row r="326" ht="12.6" customHeight="1" x14ac:dyDescent="0.3"/>
    <row r="327" ht="12.6" customHeight="1" x14ac:dyDescent="0.3"/>
    <row r="328" ht="12.6" customHeight="1" x14ac:dyDescent="0.3"/>
    <row r="329" ht="12.6" customHeight="1" x14ac:dyDescent="0.3"/>
    <row r="330" ht="12.6" customHeight="1" x14ac:dyDescent="0.3"/>
    <row r="331" ht="12.6" customHeight="1" x14ac:dyDescent="0.3"/>
    <row r="332" ht="12.6" customHeight="1" x14ac:dyDescent="0.3"/>
    <row r="333" ht="12.6" customHeight="1" x14ac:dyDescent="0.3"/>
    <row r="334" ht="12.6" customHeight="1" x14ac:dyDescent="0.3"/>
    <row r="335" ht="12.6" customHeight="1" x14ac:dyDescent="0.3"/>
    <row r="336" ht="12.6" customHeight="1" x14ac:dyDescent="0.3"/>
    <row r="337" ht="12.6" customHeight="1" x14ac:dyDescent="0.3"/>
    <row r="338" ht="12.6" customHeight="1" x14ac:dyDescent="0.3"/>
    <row r="339" ht="12.6" customHeight="1" x14ac:dyDescent="0.3"/>
    <row r="340" ht="12.6" customHeight="1" x14ac:dyDescent="0.3"/>
    <row r="341" ht="12.6" customHeight="1" x14ac:dyDescent="0.3"/>
    <row r="342" ht="12.6" customHeight="1" x14ac:dyDescent="0.3"/>
    <row r="343" ht="12.6" customHeight="1" x14ac:dyDescent="0.3"/>
    <row r="344" ht="12.6" customHeight="1" x14ac:dyDescent="0.3"/>
    <row r="345" ht="12.6" customHeight="1" x14ac:dyDescent="0.3"/>
    <row r="346" ht="12.6" customHeight="1" x14ac:dyDescent="0.3"/>
    <row r="347" ht="12.6" customHeight="1" x14ac:dyDescent="0.3"/>
    <row r="348" ht="12.6" customHeight="1" x14ac:dyDescent="0.3"/>
    <row r="349" ht="12.6" customHeight="1" x14ac:dyDescent="0.3"/>
    <row r="350" ht="12.6" customHeight="1" x14ac:dyDescent="0.3"/>
    <row r="351" ht="12.6" customHeight="1" x14ac:dyDescent="0.3"/>
    <row r="352" ht="12.6" customHeight="1" x14ac:dyDescent="0.3"/>
    <row r="353" ht="12.6" customHeight="1" x14ac:dyDescent="0.3"/>
    <row r="354" ht="12.6" customHeight="1" x14ac:dyDescent="0.3"/>
    <row r="355" ht="12.6" customHeight="1" x14ac:dyDescent="0.3"/>
    <row r="356" ht="12.6" customHeight="1" x14ac:dyDescent="0.3"/>
    <row r="357" ht="12.6" customHeight="1" x14ac:dyDescent="0.3"/>
    <row r="358" ht="12.6" customHeight="1" x14ac:dyDescent="0.3"/>
    <row r="359" ht="12.6" customHeight="1" x14ac:dyDescent="0.3"/>
    <row r="360" ht="12.6" customHeight="1" x14ac:dyDescent="0.3"/>
    <row r="361" ht="12.6" customHeight="1" x14ac:dyDescent="0.3"/>
    <row r="362" ht="12.6" customHeight="1" x14ac:dyDescent="0.3"/>
    <row r="363" ht="12.6" customHeight="1" x14ac:dyDescent="0.3"/>
    <row r="364" ht="12.6" customHeight="1" x14ac:dyDescent="0.3"/>
    <row r="365" ht="12.6" customHeight="1" x14ac:dyDescent="0.3"/>
    <row r="366" ht="12.6" customHeight="1" x14ac:dyDescent="0.3"/>
    <row r="367" ht="12.6" customHeight="1" x14ac:dyDescent="0.3"/>
    <row r="368" ht="12.6" customHeight="1" x14ac:dyDescent="0.3"/>
    <row r="369" ht="12.6" customHeight="1" x14ac:dyDescent="0.3"/>
    <row r="370" ht="12.6" customHeight="1" x14ac:dyDescent="0.3"/>
    <row r="371" ht="12.6" customHeight="1" x14ac:dyDescent="0.3"/>
    <row r="372" ht="12.6" customHeight="1" x14ac:dyDescent="0.3"/>
    <row r="373" ht="12.6" customHeight="1" x14ac:dyDescent="0.3"/>
    <row r="374" ht="12.6" customHeight="1" x14ac:dyDescent="0.3"/>
    <row r="375" ht="12.6" customHeight="1" x14ac:dyDescent="0.3"/>
    <row r="376" ht="12.6" customHeight="1" x14ac:dyDescent="0.3"/>
    <row r="377" ht="12.6" customHeight="1" x14ac:dyDescent="0.3"/>
    <row r="378" ht="12.6" customHeight="1" x14ac:dyDescent="0.3"/>
    <row r="379" ht="12.6" customHeight="1" x14ac:dyDescent="0.3"/>
    <row r="380" ht="12.6" customHeight="1" x14ac:dyDescent="0.3"/>
    <row r="381" ht="12.6" customHeight="1" x14ac:dyDescent="0.3"/>
    <row r="382" ht="12.6" customHeight="1" x14ac:dyDescent="0.3"/>
    <row r="383" ht="12.6" customHeight="1" x14ac:dyDescent="0.3"/>
    <row r="384" ht="12.6" customHeight="1" x14ac:dyDescent="0.3"/>
    <row r="385" ht="12.6" customHeight="1" x14ac:dyDescent="0.3"/>
    <row r="386" ht="12.6" customHeight="1" x14ac:dyDescent="0.3"/>
    <row r="387" ht="12.6" customHeight="1" x14ac:dyDescent="0.3"/>
    <row r="388" ht="12.6" customHeight="1" x14ac:dyDescent="0.3"/>
    <row r="389" ht="12.6" customHeight="1" x14ac:dyDescent="0.3"/>
    <row r="390" ht="12.6" customHeight="1" x14ac:dyDescent="0.3"/>
    <row r="391" ht="12.6" customHeight="1" x14ac:dyDescent="0.3"/>
    <row r="392" ht="12.6" customHeight="1" x14ac:dyDescent="0.3"/>
    <row r="393" ht="12.6" customHeight="1" x14ac:dyDescent="0.3"/>
    <row r="394" ht="12.6" customHeight="1" x14ac:dyDescent="0.3"/>
    <row r="395" ht="12.6" customHeight="1" x14ac:dyDescent="0.3"/>
    <row r="396" ht="12.6" customHeight="1" x14ac:dyDescent="0.3"/>
    <row r="397" ht="12.6" customHeight="1" x14ac:dyDescent="0.3"/>
    <row r="398" ht="12.6" customHeight="1" x14ac:dyDescent="0.3"/>
    <row r="399" ht="12.6" customHeight="1" x14ac:dyDescent="0.3"/>
    <row r="400" ht="12.6" customHeight="1" x14ac:dyDescent="0.3"/>
    <row r="401" ht="12.6" customHeight="1" x14ac:dyDescent="0.3"/>
    <row r="402" ht="12.6" customHeight="1" x14ac:dyDescent="0.3"/>
    <row r="403" ht="12.6" customHeight="1" x14ac:dyDescent="0.3"/>
    <row r="404" ht="12.6" customHeight="1" x14ac:dyDescent="0.3"/>
    <row r="405" ht="12.6" customHeight="1" x14ac:dyDescent="0.3"/>
    <row r="406" ht="12.6" customHeight="1" x14ac:dyDescent="0.3"/>
    <row r="407" ht="12.6" customHeight="1" x14ac:dyDescent="0.3"/>
    <row r="408" ht="12.6" customHeight="1" x14ac:dyDescent="0.3"/>
    <row r="409" ht="12.6" customHeight="1" x14ac:dyDescent="0.3"/>
    <row r="410" ht="12.6" customHeight="1" x14ac:dyDescent="0.3"/>
    <row r="411" ht="12.6" customHeight="1" x14ac:dyDescent="0.3"/>
    <row r="412" ht="12.6" customHeight="1" x14ac:dyDescent="0.3"/>
    <row r="413" ht="12.6" customHeight="1" x14ac:dyDescent="0.3"/>
    <row r="414" ht="12.6" customHeight="1" x14ac:dyDescent="0.3"/>
    <row r="415" ht="12.6" customHeight="1" x14ac:dyDescent="0.3"/>
    <row r="416" ht="12.6" customHeight="1" x14ac:dyDescent="0.3"/>
    <row r="417" ht="12.6" customHeight="1" x14ac:dyDescent="0.3"/>
    <row r="418" ht="12.6" customHeight="1" x14ac:dyDescent="0.3"/>
    <row r="419" ht="12.6" customHeight="1" x14ac:dyDescent="0.3"/>
    <row r="420" ht="12.6" customHeight="1" x14ac:dyDescent="0.3"/>
    <row r="421" ht="12.6" customHeight="1" x14ac:dyDescent="0.3"/>
    <row r="422" ht="12.6" customHeight="1" x14ac:dyDescent="0.3"/>
    <row r="423" ht="12.6" customHeight="1" x14ac:dyDescent="0.3"/>
    <row r="424" ht="12.6" customHeight="1" x14ac:dyDescent="0.3"/>
    <row r="425" ht="12.6" customHeight="1" x14ac:dyDescent="0.3"/>
    <row r="426" ht="12.6" customHeight="1" x14ac:dyDescent="0.3"/>
    <row r="427" ht="12.6" customHeight="1" x14ac:dyDescent="0.3"/>
    <row r="428" ht="12.6" customHeight="1" x14ac:dyDescent="0.3"/>
    <row r="429" ht="12.6" customHeight="1" x14ac:dyDescent="0.3"/>
    <row r="430" ht="12.6" customHeight="1" x14ac:dyDescent="0.3"/>
    <row r="431" ht="12.6" customHeight="1" x14ac:dyDescent="0.3"/>
    <row r="432" ht="12.6" customHeight="1" x14ac:dyDescent="0.3"/>
    <row r="433" ht="12.6" customHeight="1" x14ac:dyDescent="0.3"/>
    <row r="434" ht="12.6" customHeight="1" x14ac:dyDescent="0.3"/>
    <row r="435" ht="12.6" customHeight="1" x14ac:dyDescent="0.3"/>
    <row r="436" ht="12.6" customHeight="1" x14ac:dyDescent="0.3"/>
    <row r="437" ht="12.6" customHeight="1" x14ac:dyDescent="0.3"/>
    <row r="438" ht="12.6" customHeight="1" x14ac:dyDescent="0.3"/>
    <row r="439" ht="12.6" customHeight="1" x14ac:dyDescent="0.3"/>
    <row r="440" ht="12.6" customHeight="1" x14ac:dyDescent="0.3"/>
    <row r="441" ht="12.6" customHeight="1" x14ac:dyDescent="0.3"/>
    <row r="442" ht="12.6" customHeight="1" x14ac:dyDescent="0.3"/>
    <row r="443" ht="12.6" customHeight="1" x14ac:dyDescent="0.3"/>
    <row r="444" ht="12.6" customHeight="1" x14ac:dyDescent="0.3"/>
    <row r="445" ht="12.6" customHeight="1" x14ac:dyDescent="0.3"/>
    <row r="446" ht="12.6" customHeight="1" x14ac:dyDescent="0.3"/>
    <row r="447" ht="12.6" customHeight="1" x14ac:dyDescent="0.3"/>
    <row r="448" ht="12.6" customHeight="1" x14ac:dyDescent="0.3"/>
    <row r="449" ht="12.6" customHeight="1" x14ac:dyDescent="0.3"/>
    <row r="450" ht="12.6" customHeight="1" x14ac:dyDescent="0.3"/>
    <row r="451" ht="12.6" customHeight="1" x14ac:dyDescent="0.3"/>
    <row r="452" ht="12.6" customHeight="1" x14ac:dyDescent="0.3"/>
    <row r="453" ht="12.6" customHeight="1" x14ac:dyDescent="0.3"/>
    <row r="454" ht="12.6" customHeight="1" x14ac:dyDescent="0.3"/>
    <row r="455" ht="12.6" customHeight="1" x14ac:dyDescent="0.3"/>
    <row r="456" ht="12.6" customHeight="1" x14ac:dyDescent="0.3"/>
    <row r="457" ht="12.6" customHeight="1" x14ac:dyDescent="0.3"/>
    <row r="458" ht="12.6" customHeight="1" x14ac:dyDescent="0.3"/>
    <row r="459" ht="12.6" customHeight="1" x14ac:dyDescent="0.3"/>
    <row r="460" ht="12.6" customHeight="1" x14ac:dyDescent="0.3"/>
    <row r="461" ht="12.6" customHeight="1" x14ac:dyDescent="0.3"/>
    <row r="462" ht="12.6" customHeight="1" x14ac:dyDescent="0.3"/>
    <row r="463" ht="12.6" customHeight="1" x14ac:dyDescent="0.3"/>
    <row r="464" ht="12.6" customHeight="1" x14ac:dyDescent="0.3"/>
    <row r="465" ht="12.6" customHeight="1" x14ac:dyDescent="0.3"/>
    <row r="466" ht="12.6" customHeight="1" x14ac:dyDescent="0.3"/>
    <row r="467" ht="12.6" customHeight="1" x14ac:dyDescent="0.3"/>
    <row r="468" ht="12.6" customHeight="1" x14ac:dyDescent="0.3"/>
    <row r="469" ht="12.6" customHeight="1" x14ac:dyDescent="0.3"/>
    <row r="470" ht="12.6" customHeight="1" x14ac:dyDescent="0.3"/>
    <row r="471" ht="12.6" customHeight="1" x14ac:dyDescent="0.3"/>
    <row r="472" ht="12.6" customHeight="1" x14ac:dyDescent="0.3"/>
    <row r="473" ht="12.6" customHeight="1" x14ac:dyDescent="0.3"/>
    <row r="474" ht="12.6" customHeight="1" x14ac:dyDescent="0.3"/>
    <row r="475" ht="12.6" customHeight="1" x14ac:dyDescent="0.3"/>
    <row r="476" ht="12.6" customHeight="1" x14ac:dyDescent="0.3"/>
    <row r="477" ht="12.6" customHeight="1" x14ac:dyDescent="0.3"/>
    <row r="478" ht="12.6" customHeight="1" x14ac:dyDescent="0.3"/>
    <row r="479" ht="12.6" customHeight="1" x14ac:dyDescent="0.3"/>
    <row r="480" ht="12.6" customHeight="1" x14ac:dyDescent="0.3"/>
    <row r="481" ht="12.6" customHeight="1" x14ac:dyDescent="0.3"/>
    <row r="482" ht="12.6" customHeight="1" x14ac:dyDescent="0.3"/>
    <row r="483" ht="12.6" customHeight="1" x14ac:dyDescent="0.3"/>
    <row r="484" ht="12.6" customHeight="1" x14ac:dyDescent="0.3"/>
    <row r="485" ht="12.6" customHeight="1" x14ac:dyDescent="0.3"/>
    <row r="486" ht="12.6" customHeight="1" x14ac:dyDescent="0.3"/>
    <row r="487" ht="12.6" customHeight="1" x14ac:dyDescent="0.3"/>
    <row r="488" ht="12.6" customHeight="1" x14ac:dyDescent="0.3"/>
    <row r="489" ht="12.6" customHeight="1" x14ac:dyDescent="0.3"/>
    <row r="490" ht="12.6" customHeight="1" x14ac:dyDescent="0.3"/>
    <row r="491" ht="12.6" customHeight="1" x14ac:dyDescent="0.3"/>
    <row r="492" ht="12.6" customHeight="1" x14ac:dyDescent="0.3"/>
    <row r="493" ht="12.6" customHeight="1" x14ac:dyDescent="0.3"/>
    <row r="494" ht="12.6" customHeight="1" x14ac:dyDescent="0.3"/>
    <row r="495" ht="12.6" customHeight="1" x14ac:dyDescent="0.3"/>
    <row r="496" ht="12.6" customHeight="1" x14ac:dyDescent="0.3"/>
    <row r="497" ht="12.6" customHeight="1" x14ac:dyDescent="0.3"/>
    <row r="498" ht="12.6" customHeight="1" x14ac:dyDescent="0.3"/>
    <row r="499" ht="12.6" customHeight="1" x14ac:dyDescent="0.3"/>
    <row r="500" ht="12.6" customHeight="1" x14ac:dyDescent="0.3"/>
    <row r="501" ht="12.6" customHeight="1" x14ac:dyDescent="0.3"/>
    <row r="502" ht="12.6" customHeight="1" x14ac:dyDescent="0.3"/>
    <row r="503" ht="12.6" customHeight="1" x14ac:dyDescent="0.3"/>
    <row r="504" ht="12.6" customHeight="1" x14ac:dyDescent="0.3"/>
    <row r="505" ht="12.6" customHeight="1" x14ac:dyDescent="0.3"/>
    <row r="506" ht="12.6" customHeight="1" x14ac:dyDescent="0.3"/>
    <row r="507" ht="12.6" customHeight="1" x14ac:dyDescent="0.3"/>
    <row r="508" ht="12.6" customHeight="1" x14ac:dyDescent="0.3"/>
    <row r="509" ht="12.6" customHeight="1" x14ac:dyDescent="0.3"/>
    <row r="510" ht="12.6" customHeight="1" x14ac:dyDescent="0.3"/>
    <row r="511" ht="12.6" customHeight="1" x14ac:dyDescent="0.3"/>
    <row r="512" ht="12.6" customHeight="1" x14ac:dyDescent="0.3"/>
    <row r="513" ht="12.6" customHeight="1" x14ac:dyDescent="0.3"/>
    <row r="514" ht="12.6" customHeight="1" x14ac:dyDescent="0.3"/>
    <row r="515" ht="12.6" customHeight="1" x14ac:dyDescent="0.3"/>
    <row r="516" ht="12.6" customHeight="1" x14ac:dyDescent="0.3"/>
    <row r="517" ht="12.6" customHeight="1" x14ac:dyDescent="0.3"/>
    <row r="518" ht="12.6" customHeight="1" x14ac:dyDescent="0.3"/>
    <row r="519" ht="12.6" customHeight="1" x14ac:dyDescent="0.3"/>
    <row r="520" ht="12.6" customHeight="1" x14ac:dyDescent="0.3"/>
    <row r="521" ht="12.6" customHeight="1" x14ac:dyDescent="0.3"/>
    <row r="522" ht="12.6" customHeight="1" x14ac:dyDescent="0.3"/>
    <row r="523" ht="12.6" customHeight="1" x14ac:dyDescent="0.3"/>
    <row r="524" ht="12.6" customHeight="1" x14ac:dyDescent="0.3"/>
    <row r="525" ht="12.6" customHeight="1" x14ac:dyDescent="0.3"/>
    <row r="526" ht="12.6" customHeight="1" x14ac:dyDescent="0.3"/>
    <row r="527" ht="12.6" customHeight="1" x14ac:dyDescent="0.3"/>
    <row r="528" ht="12.6" customHeight="1" x14ac:dyDescent="0.3"/>
    <row r="529" ht="12.6" customHeight="1" x14ac:dyDescent="0.3"/>
    <row r="530" ht="12.6" customHeight="1" x14ac:dyDescent="0.3"/>
    <row r="531" ht="12.6" customHeight="1" x14ac:dyDescent="0.3"/>
    <row r="532" ht="12.6" customHeight="1" x14ac:dyDescent="0.3"/>
    <row r="533" ht="12.6" customHeight="1" x14ac:dyDescent="0.3"/>
    <row r="534" ht="12.6" customHeight="1" x14ac:dyDescent="0.3"/>
    <row r="535" ht="12.6" customHeight="1" x14ac:dyDescent="0.3"/>
    <row r="536" ht="12.6" customHeight="1" x14ac:dyDescent="0.3"/>
    <row r="537" ht="12.6" customHeight="1" x14ac:dyDescent="0.3"/>
    <row r="538" ht="12.6" customHeight="1" x14ac:dyDescent="0.3"/>
    <row r="539" ht="12.6" customHeight="1" x14ac:dyDescent="0.3"/>
    <row r="540" ht="12.6" customHeight="1" x14ac:dyDescent="0.3"/>
    <row r="541" ht="12.6" customHeight="1" x14ac:dyDescent="0.3"/>
    <row r="542" ht="12.6" customHeight="1" x14ac:dyDescent="0.3"/>
    <row r="543" ht="12.6" customHeight="1" x14ac:dyDescent="0.3"/>
    <row r="544" ht="12.6" customHeight="1" x14ac:dyDescent="0.3"/>
    <row r="545" ht="12.6" customHeight="1" x14ac:dyDescent="0.3"/>
    <row r="546" ht="12.6" customHeight="1" x14ac:dyDescent="0.3"/>
    <row r="547" ht="12.6" customHeight="1" x14ac:dyDescent="0.3"/>
    <row r="548" ht="12.6" customHeight="1" x14ac:dyDescent="0.3"/>
    <row r="549" ht="12.6" customHeight="1" x14ac:dyDescent="0.3"/>
    <row r="550" ht="12.6" customHeight="1" x14ac:dyDescent="0.3"/>
    <row r="551" ht="12.6" customHeight="1" x14ac:dyDescent="0.3"/>
    <row r="552" ht="12.6" customHeight="1" x14ac:dyDescent="0.3"/>
    <row r="553" ht="12.6" customHeight="1" x14ac:dyDescent="0.3"/>
    <row r="554" ht="12.6" customHeight="1" x14ac:dyDescent="0.3"/>
    <row r="555" ht="12.6" customHeight="1" x14ac:dyDescent="0.3"/>
    <row r="556" ht="12.6" customHeight="1" x14ac:dyDescent="0.3"/>
    <row r="557" ht="12.6" customHeight="1" x14ac:dyDescent="0.3"/>
    <row r="558" ht="12.6" customHeight="1" x14ac:dyDescent="0.3"/>
    <row r="559" ht="12.6" customHeight="1" x14ac:dyDescent="0.3"/>
    <row r="560" ht="12.6" customHeight="1" x14ac:dyDescent="0.3"/>
    <row r="561" ht="12.6" customHeight="1" x14ac:dyDescent="0.3"/>
    <row r="562" ht="12.6" customHeight="1" x14ac:dyDescent="0.3"/>
    <row r="563" ht="12.6" customHeight="1" x14ac:dyDescent="0.3"/>
    <row r="564" ht="12.6" customHeight="1" x14ac:dyDescent="0.3"/>
    <row r="565" ht="12.6" customHeight="1" x14ac:dyDescent="0.3"/>
    <row r="566" ht="12.6" customHeight="1" x14ac:dyDescent="0.3"/>
    <row r="567" ht="12.6" customHeight="1" x14ac:dyDescent="0.3"/>
    <row r="568" ht="12.6" customHeight="1" x14ac:dyDescent="0.3"/>
    <row r="569" ht="12.6" customHeight="1" x14ac:dyDescent="0.3"/>
    <row r="570" ht="12.6" customHeight="1" x14ac:dyDescent="0.3"/>
    <row r="571" ht="12.6" customHeight="1" x14ac:dyDescent="0.3"/>
    <row r="572" ht="12.6" customHeight="1" x14ac:dyDescent="0.3"/>
    <row r="573" ht="12.6" customHeight="1" x14ac:dyDescent="0.3"/>
    <row r="574" ht="12.6" customHeight="1" x14ac:dyDescent="0.3"/>
    <row r="575" ht="12.6" customHeight="1" x14ac:dyDescent="0.3"/>
    <row r="576" ht="12.6" customHeight="1" x14ac:dyDescent="0.3"/>
    <row r="577" ht="12.6" customHeight="1" x14ac:dyDescent="0.3"/>
    <row r="578" ht="12.6" customHeight="1" x14ac:dyDescent="0.3"/>
    <row r="579" ht="12.6" customHeight="1" x14ac:dyDescent="0.3"/>
    <row r="580" ht="12.6" customHeight="1" x14ac:dyDescent="0.3"/>
    <row r="581" ht="12.6" customHeight="1" x14ac:dyDescent="0.3"/>
    <row r="582" ht="12.6" customHeight="1" x14ac:dyDescent="0.3"/>
    <row r="583" ht="12.6" customHeight="1" x14ac:dyDescent="0.3"/>
    <row r="584" ht="12.6" customHeight="1" x14ac:dyDescent="0.3"/>
    <row r="585" ht="12.6" customHeight="1" x14ac:dyDescent="0.3"/>
    <row r="586" ht="12.6" customHeight="1" x14ac:dyDescent="0.3"/>
    <row r="587" ht="12.6" customHeight="1" x14ac:dyDescent="0.3"/>
    <row r="588" ht="12.6" customHeight="1" x14ac:dyDescent="0.3"/>
    <row r="589" ht="12.6" customHeight="1" x14ac:dyDescent="0.3"/>
    <row r="590" ht="12.6" customHeight="1" x14ac:dyDescent="0.3"/>
    <row r="591" ht="12.6" customHeight="1" x14ac:dyDescent="0.3"/>
    <row r="592" ht="12.6" customHeight="1" x14ac:dyDescent="0.3"/>
    <row r="593" ht="12.6" customHeight="1" x14ac:dyDescent="0.3"/>
    <row r="594" ht="12.6" customHeight="1" x14ac:dyDescent="0.3"/>
    <row r="595" ht="12.6" customHeight="1" x14ac:dyDescent="0.3"/>
    <row r="596" ht="12.6" customHeight="1" x14ac:dyDescent="0.3"/>
    <row r="597" ht="12.6" customHeight="1" x14ac:dyDescent="0.3"/>
    <row r="598" ht="12.6" customHeight="1" x14ac:dyDescent="0.3"/>
    <row r="599" ht="12.6" customHeight="1" x14ac:dyDescent="0.3"/>
    <row r="600" ht="12.6" customHeight="1" x14ac:dyDescent="0.3"/>
    <row r="601" ht="12.6" customHeight="1" x14ac:dyDescent="0.3"/>
    <row r="602" ht="12.6" customHeight="1" x14ac:dyDescent="0.3"/>
    <row r="603" ht="12.6" customHeight="1" x14ac:dyDescent="0.3"/>
    <row r="604" ht="12.6" customHeight="1" x14ac:dyDescent="0.3"/>
    <row r="605" ht="12.6" customHeight="1" x14ac:dyDescent="0.3"/>
    <row r="606" ht="12.6" customHeight="1" x14ac:dyDescent="0.3"/>
    <row r="607" ht="12.6" customHeight="1" x14ac:dyDescent="0.3"/>
    <row r="608" ht="12.6" customHeight="1" x14ac:dyDescent="0.3"/>
    <row r="609" ht="12.6" customHeight="1" x14ac:dyDescent="0.3"/>
    <row r="610" ht="12.6" customHeight="1" x14ac:dyDescent="0.3"/>
    <row r="611" ht="12.6" customHeight="1" x14ac:dyDescent="0.3"/>
    <row r="612" ht="12.6" customHeight="1" x14ac:dyDescent="0.3"/>
    <row r="613" ht="12.6" customHeight="1" x14ac:dyDescent="0.3"/>
    <row r="614" ht="12.6" customHeight="1" x14ac:dyDescent="0.3"/>
    <row r="615" ht="12.6" customHeight="1" x14ac:dyDescent="0.3"/>
    <row r="616" ht="12.6" customHeight="1" x14ac:dyDescent="0.3"/>
    <row r="617" ht="12.6" customHeight="1" x14ac:dyDescent="0.3"/>
    <row r="618" ht="12.6" customHeight="1" x14ac:dyDescent="0.3"/>
    <row r="619" ht="12.6" customHeight="1" x14ac:dyDescent="0.3"/>
    <row r="620" ht="12.6" customHeight="1" x14ac:dyDescent="0.3"/>
    <row r="621" ht="12.6" customHeight="1" x14ac:dyDescent="0.3"/>
    <row r="622" ht="12.6" customHeight="1" x14ac:dyDescent="0.3"/>
    <row r="623" ht="12.6" customHeight="1" x14ac:dyDescent="0.3"/>
    <row r="624" ht="12.6" customHeight="1" x14ac:dyDescent="0.3"/>
    <row r="625" ht="12.6" customHeight="1" x14ac:dyDescent="0.3"/>
    <row r="626" ht="12.6" customHeight="1" x14ac:dyDescent="0.3"/>
    <row r="627" ht="12.6" customHeight="1" x14ac:dyDescent="0.3"/>
    <row r="628" ht="12.6" customHeight="1" x14ac:dyDescent="0.3"/>
    <row r="629" ht="12.6" customHeight="1" x14ac:dyDescent="0.3"/>
    <row r="630" ht="12.6" customHeight="1" x14ac:dyDescent="0.3"/>
    <row r="631" ht="12.6" customHeight="1" x14ac:dyDescent="0.3"/>
    <row r="632" ht="12.6" customHeight="1" x14ac:dyDescent="0.3"/>
    <row r="633" ht="12.6" customHeight="1" x14ac:dyDescent="0.3"/>
    <row r="634" ht="12.6" customHeight="1" x14ac:dyDescent="0.3"/>
    <row r="635" ht="12.6" customHeight="1" x14ac:dyDescent="0.3"/>
    <row r="636" ht="12.6" customHeight="1" x14ac:dyDescent="0.3"/>
    <row r="637" ht="12.6" customHeight="1" x14ac:dyDescent="0.3"/>
    <row r="638" ht="12.6" customHeight="1" x14ac:dyDescent="0.3"/>
    <row r="639" ht="12.6" customHeight="1" x14ac:dyDescent="0.3"/>
    <row r="640" ht="12.6" customHeight="1" x14ac:dyDescent="0.3"/>
    <row r="641" ht="12.6" customHeight="1" x14ac:dyDescent="0.3"/>
    <row r="642" ht="12.6" customHeight="1" x14ac:dyDescent="0.3"/>
    <row r="643" ht="12.6" customHeight="1" x14ac:dyDescent="0.3"/>
    <row r="644" ht="12.6" customHeight="1" x14ac:dyDescent="0.3"/>
    <row r="645" ht="12.6" customHeight="1" x14ac:dyDescent="0.3"/>
    <row r="646" ht="12.6" customHeight="1" x14ac:dyDescent="0.3"/>
    <row r="647" ht="12.6" customHeight="1" x14ac:dyDescent="0.3"/>
    <row r="648" ht="12.6" customHeight="1" x14ac:dyDescent="0.3"/>
    <row r="649" ht="12.6" customHeight="1" x14ac:dyDescent="0.3"/>
    <row r="650" ht="12.6" customHeight="1" x14ac:dyDescent="0.3"/>
    <row r="651" ht="12.6" customHeight="1" x14ac:dyDescent="0.3"/>
    <row r="652" ht="12.6" customHeight="1" x14ac:dyDescent="0.3"/>
    <row r="653" ht="12.6" customHeight="1" x14ac:dyDescent="0.3"/>
    <row r="654" ht="12.6" customHeight="1" x14ac:dyDescent="0.3"/>
    <row r="655" ht="12.6" customHeight="1" x14ac:dyDescent="0.3"/>
    <row r="656" ht="12.6" customHeight="1" x14ac:dyDescent="0.3"/>
    <row r="657" ht="12.6" customHeight="1" x14ac:dyDescent="0.3"/>
    <row r="658" ht="12.6" customHeight="1" x14ac:dyDescent="0.3"/>
    <row r="659" ht="12.6" customHeight="1" x14ac:dyDescent="0.3"/>
    <row r="660" ht="12.6" customHeight="1" x14ac:dyDescent="0.3"/>
    <row r="661" ht="12.6" customHeight="1" x14ac:dyDescent="0.3"/>
    <row r="662" ht="12.6" customHeight="1" x14ac:dyDescent="0.3"/>
    <row r="663" ht="12.6" customHeight="1" x14ac:dyDescent="0.3"/>
    <row r="664" ht="12.6" customHeight="1" x14ac:dyDescent="0.3"/>
    <row r="665" ht="12.6" customHeight="1" x14ac:dyDescent="0.3"/>
    <row r="666" ht="12.6" customHeight="1" x14ac:dyDescent="0.3"/>
    <row r="667" ht="12.6" customHeight="1" x14ac:dyDescent="0.3"/>
    <row r="668" ht="12.6" customHeight="1" x14ac:dyDescent="0.3"/>
    <row r="669" ht="12.6" customHeight="1" x14ac:dyDescent="0.3"/>
    <row r="670" ht="12.6" customHeight="1" x14ac:dyDescent="0.3"/>
    <row r="671" ht="12.6" customHeight="1" x14ac:dyDescent="0.3"/>
    <row r="672" ht="12.6" customHeight="1" x14ac:dyDescent="0.3"/>
    <row r="673" ht="12.6" customHeight="1" x14ac:dyDescent="0.3"/>
    <row r="674" ht="12.6" customHeight="1" x14ac:dyDescent="0.3"/>
    <row r="675" ht="12.6" customHeight="1" x14ac:dyDescent="0.3"/>
    <row r="676" ht="12.6" customHeight="1" x14ac:dyDescent="0.3"/>
    <row r="677" ht="12.6" customHeight="1" x14ac:dyDescent="0.3"/>
    <row r="678" ht="12.6" customHeight="1" x14ac:dyDescent="0.3"/>
    <row r="679" ht="12.6" customHeight="1" x14ac:dyDescent="0.3"/>
    <row r="680" ht="12.6" customHeight="1" x14ac:dyDescent="0.3"/>
    <row r="681" ht="12.6" customHeight="1" x14ac:dyDescent="0.3"/>
    <row r="682" ht="12.6" customHeight="1" x14ac:dyDescent="0.3"/>
    <row r="683" ht="12.6" customHeight="1" x14ac:dyDescent="0.3"/>
    <row r="684" ht="12.6" customHeight="1" x14ac:dyDescent="0.3"/>
    <row r="685" ht="12.6" customHeight="1" x14ac:dyDescent="0.3"/>
    <row r="686" ht="12.6" customHeight="1" x14ac:dyDescent="0.3"/>
    <row r="687" ht="12.6" customHeight="1" x14ac:dyDescent="0.3"/>
    <row r="688" ht="12.6" customHeight="1" x14ac:dyDescent="0.3"/>
    <row r="689" ht="12.6" customHeight="1" x14ac:dyDescent="0.3"/>
    <row r="690" ht="12.6" customHeight="1" x14ac:dyDescent="0.3"/>
    <row r="691" ht="12.6" customHeight="1" x14ac:dyDescent="0.3"/>
    <row r="692" ht="12.6" customHeight="1" x14ac:dyDescent="0.3"/>
    <row r="693" ht="12.6" customHeight="1" x14ac:dyDescent="0.3"/>
    <row r="694" ht="12.6" customHeight="1" x14ac:dyDescent="0.3"/>
    <row r="695" ht="12.6" customHeight="1" x14ac:dyDescent="0.3"/>
    <row r="696" ht="12.6" customHeight="1" x14ac:dyDescent="0.3"/>
    <row r="697" ht="12.6" customHeight="1" x14ac:dyDescent="0.3"/>
    <row r="698" ht="12.6" customHeight="1" x14ac:dyDescent="0.3"/>
    <row r="699" ht="12.6" customHeight="1" x14ac:dyDescent="0.3"/>
    <row r="700" ht="12.6" customHeight="1" x14ac:dyDescent="0.3"/>
    <row r="701" ht="12.6" customHeight="1" x14ac:dyDescent="0.3"/>
    <row r="702" ht="12.6" customHeight="1" x14ac:dyDescent="0.3"/>
    <row r="703" ht="12.6" customHeight="1" x14ac:dyDescent="0.3"/>
    <row r="704" ht="12.6" customHeight="1" x14ac:dyDescent="0.3"/>
    <row r="705" ht="12.6" customHeight="1" x14ac:dyDescent="0.3"/>
    <row r="706" ht="12.6" customHeight="1" x14ac:dyDescent="0.3"/>
    <row r="707" ht="12.6" customHeight="1" x14ac:dyDescent="0.3"/>
    <row r="708" ht="12.6" customHeight="1" x14ac:dyDescent="0.3"/>
    <row r="709" ht="12.6" customHeight="1" x14ac:dyDescent="0.3"/>
    <row r="710" ht="12.6" customHeight="1" x14ac:dyDescent="0.3"/>
    <row r="711" ht="12.6" customHeight="1" x14ac:dyDescent="0.3"/>
    <row r="712" ht="12.6" customHeight="1" x14ac:dyDescent="0.3"/>
    <row r="713" ht="12.6" customHeight="1" x14ac:dyDescent="0.3"/>
    <row r="714" ht="12.6" customHeight="1" x14ac:dyDescent="0.3"/>
    <row r="715" ht="12.6" customHeight="1" x14ac:dyDescent="0.3"/>
    <row r="716" ht="12.6" customHeight="1" x14ac:dyDescent="0.3"/>
    <row r="717" ht="12.6" customHeight="1" x14ac:dyDescent="0.3"/>
    <row r="718" ht="12.6" customHeight="1" x14ac:dyDescent="0.3"/>
    <row r="719" ht="12.6" customHeight="1" x14ac:dyDescent="0.3"/>
    <row r="720" ht="12.6" customHeight="1" x14ac:dyDescent="0.3"/>
    <row r="721" ht="12.6" customHeight="1" x14ac:dyDescent="0.3"/>
    <row r="722" ht="12.6" customHeight="1" x14ac:dyDescent="0.3"/>
    <row r="723" ht="12.6" customHeight="1" x14ac:dyDescent="0.3"/>
    <row r="724" ht="12.6" customHeight="1" x14ac:dyDescent="0.3"/>
    <row r="725" ht="12.6" customHeight="1" x14ac:dyDescent="0.3"/>
    <row r="726" ht="12.6" customHeight="1" x14ac:dyDescent="0.3"/>
    <row r="727" ht="12.6" customHeight="1" x14ac:dyDescent="0.3"/>
    <row r="728" ht="12.6" customHeight="1" x14ac:dyDescent="0.3"/>
    <row r="729" ht="12.6" customHeight="1" x14ac:dyDescent="0.3"/>
    <row r="730" ht="12.6" customHeight="1" x14ac:dyDescent="0.3"/>
    <row r="731" ht="12.6" customHeight="1" x14ac:dyDescent="0.3"/>
    <row r="732" ht="12.6" customHeight="1" x14ac:dyDescent="0.3"/>
    <row r="733" ht="12.6" customHeight="1" x14ac:dyDescent="0.3"/>
    <row r="734" ht="12.6" customHeight="1" x14ac:dyDescent="0.3"/>
    <row r="735" ht="12.6" customHeight="1" x14ac:dyDescent="0.3"/>
    <row r="736" ht="12.6" customHeight="1" x14ac:dyDescent="0.3"/>
    <row r="737" ht="12.6" customHeight="1" x14ac:dyDescent="0.3"/>
    <row r="738" ht="12.6" customHeight="1" x14ac:dyDescent="0.3"/>
    <row r="739" ht="12.6" customHeight="1" x14ac:dyDescent="0.3"/>
    <row r="740" ht="12.6" customHeight="1" x14ac:dyDescent="0.3"/>
    <row r="741" ht="12.6" customHeight="1" x14ac:dyDescent="0.3"/>
    <row r="742" ht="12.6" customHeight="1" x14ac:dyDescent="0.3"/>
    <row r="743" ht="12.6" customHeight="1" x14ac:dyDescent="0.3"/>
    <row r="744" ht="12.6" customHeight="1" x14ac:dyDescent="0.3"/>
    <row r="745" ht="12.6" customHeight="1" x14ac:dyDescent="0.3"/>
    <row r="746" ht="12.6" customHeight="1" x14ac:dyDescent="0.3"/>
    <row r="747" ht="12.6" customHeight="1" x14ac:dyDescent="0.3"/>
    <row r="748" ht="12.6" customHeight="1" x14ac:dyDescent="0.3"/>
    <row r="749" ht="12.6" customHeight="1" x14ac:dyDescent="0.3"/>
    <row r="750" ht="12.6" customHeight="1" x14ac:dyDescent="0.3"/>
    <row r="751" ht="12.6" customHeight="1" x14ac:dyDescent="0.3"/>
    <row r="752" ht="12.6" customHeight="1" x14ac:dyDescent="0.3"/>
    <row r="753" ht="12.6" customHeight="1" x14ac:dyDescent="0.3"/>
    <row r="754" ht="12.6" customHeight="1" x14ac:dyDescent="0.3"/>
    <row r="755" ht="12.6" customHeight="1" x14ac:dyDescent="0.3"/>
    <row r="756" ht="12.6" customHeight="1" x14ac:dyDescent="0.3"/>
    <row r="757" ht="12.6" customHeight="1" x14ac:dyDescent="0.3"/>
    <row r="758" ht="12.6" customHeight="1" x14ac:dyDescent="0.3"/>
    <row r="759" ht="12.6" customHeight="1" x14ac:dyDescent="0.3"/>
    <row r="760" ht="12.6" customHeight="1" x14ac:dyDescent="0.3"/>
    <row r="761" ht="12.6" customHeight="1" x14ac:dyDescent="0.3"/>
    <row r="762" ht="12.6" customHeight="1" x14ac:dyDescent="0.3"/>
    <row r="763" ht="12.6" customHeight="1" x14ac:dyDescent="0.3"/>
    <row r="764" ht="12.6" customHeight="1" x14ac:dyDescent="0.3"/>
    <row r="765" ht="12.6" customHeight="1" x14ac:dyDescent="0.3"/>
    <row r="766" ht="12.6" customHeight="1" x14ac:dyDescent="0.3"/>
    <row r="767" ht="12.6" customHeight="1" x14ac:dyDescent="0.3"/>
    <row r="768" ht="12.6" customHeight="1" x14ac:dyDescent="0.3"/>
    <row r="769" ht="12.6" customHeight="1" x14ac:dyDescent="0.3"/>
    <row r="770" ht="12.6" customHeight="1" x14ac:dyDescent="0.3"/>
    <row r="771" ht="12.6" customHeight="1" x14ac:dyDescent="0.3"/>
    <row r="772" ht="12.6" customHeight="1" x14ac:dyDescent="0.3"/>
    <row r="773" ht="12.6" customHeight="1" x14ac:dyDescent="0.3"/>
    <row r="774" ht="12.6" customHeight="1" x14ac:dyDescent="0.3"/>
    <row r="775" ht="12.6" customHeight="1" x14ac:dyDescent="0.3"/>
    <row r="776" ht="12.6" customHeight="1" x14ac:dyDescent="0.3"/>
    <row r="777" ht="12.6" customHeight="1" x14ac:dyDescent="0.3"/>
    <row r="778" ht="12.6" customHeight="1" x14ac:dyDescent="0.3"/>
    <row r="779" ht="12.6" customHeight="1" x14ac:dyDescent="0.3"/>
    <row r="780" ht="12.6" customHeight="1" x14ac:dyDescent="0.3"/>
    <row r="781" ht="12.6" customHeight="1" x14ac:dyDescent="0.3"/>
    <row r="782" ht="12.6" customHeight="1" x14ac:dyDescent="0.3"/>
    <row r="783" ht="12.6" customHeight="1" x14ac:dyDescent="0.3"/>
    <row r="784" ht="12.6" customHeight="1" x14ac:dyDescent="0.3"/>
    <row r="785" ht="12.6" customHeight="1" x14ac:dyDescent="0.3"/>
    <row r="786" ht="12.6" customHeight="1" x14ac:dyDescent="0.3"/>
    <row r="787" ht="12.6" customHeight="1" x14ac:dyDescent="0.3"/>
    <row r="788" ht="12.6" customHeight="1" x14ac:dyDescent="0.3"/>
    <row r="789" ht="12.6" customHeight="1" x14ac:dyDescent="0.3"/>
    <row r="790" ht="12.6" customHeight="1" x14ac:dyDescent="0.3"/>
    <row r="791" ht="12.6" customHeight="1" x14ac:dyDescent="0.3"/>
    <row r="792" ht="12.6" customHeight="1" x14ac:dyDescent="0.3"/>
    <row r="793" ht="12.6" customHeight="1" x14ac:dyDescent="0.3"/>
    <row r="794" ht="12.6" customHeight="1" x14ac:dyDescent="0.3"/>
    <row r="795" ht="12.6" customHeight="1" x14ac:dyDescent="0.3"/>
    <row r="796" ht="12.6" customHeight="1" x14ac:dyDescent="0.3"/>
    <row r="797" ht="12.6" customHeight="1" x14ac:dyDescent="0.3"/>
    <row r="798" ht="12.6" customHeight="1" x14ac:dyDescent="0.3"/>
    <row r="799" ht="12.6" customHeight="1" x14ac:dyDescent="0.3"/>
    <row r="800" ht="12.6" customHeight="1" x14ac:dyDescent="0.3"/>
    <row r="801" ht="12.6" customHeight="1" x14ac:dyDescent="0.3"/>
    <row r="802" ht="12.6" customHeight="1" x14ac:dyDescent="0.3"/>
    <row r="803" ht="12.6" customHeight="1" x14ac:dyDescent="0.3"/>
    <row r="804" ht="12.6" customHeight="1" x14ac:dyDescent="0.3"/>
    <row r="805" ht="12.6" customHeight="1" x14ac:dyDescent="0.3"/>
    <row r="806" ht="12.6" customHeight="1" x14ac:dyDescent="0.3"/>
    <row r="807" ht="12.6" customHeight="1" x14ac:dyDescent="0.3"/>
    <row r="808" ht="12.6" customHeight="1" x14ac:dyDescent="0.3"/>
    <row r="809" ht="12.6" customHeight="1" x14ac:dyDescent="0.3"/>
    <row r="810" ht="12.6" customHeight="1" x14ac:dyDescent="0.3"/>
    <row r="811" ht="12.6" customHeight="1" x14ac:dyDescent="0.3"/>
    <row r="812" ht="12.6" customHeight="1" x14ac:dyDescent="0.3"/>
    <row r="813" ht="12.6" customHeight="1" x14ac:dyDescent="0.3"/>
    <row r="814" ht="12.6" customHeight="1" x14ac:dyDescent="0.3"/>
    <row r="815" ht="12.6" customHeight="1" x14ac:dyDescent="0.3"/>
    <row r="816" ht="12.6" customHeight="1" x14ac:dyDescent="0.3"/>
    <row r="817" ht="12.6" customHeight="1" x14ac:dyDescent="0.3"/>
    <row r="818" ht="12.6" customHeight="1" x14ac:dyDescent="0.3"/>
    <row r="819" ht="12.6" customHeight="1" x14ac:dyDescent="0.3"/>
    <row r="820" ht="12.6" customHeight="1" x14ac:dyDescent="0.3"/>
    <row r="821" ht="12.6" customHeight="1" x14ac:dyDescent="0.3"/>
    <row r="822" ht="12.6" customHeight="1" x14ac:dyDescent="0.3"/>
    <row r="823" ht="12.6" customHeight="1" x14ac:dyDescent="0.3"/>
    <row r="824" ht="12.6" customHeight="1" x14ac:dyDescent="0.3"/>
    <row r="825" ht="12.6" customHeight="1" x14ac:dyDescent="0.3"/>
    <row r="826" ht="12.6" customHeight="1" x14ac:dyDescent="0.3"/>
    <row r="827" ht="12.6" customHeight="1" x14ac:dyDescent="0.3"/>
    <row r="828" ht="12.6" customHeight="1" x14ac:dyDescent="0.3"/>
    <row r="829" ht="12.6" customHeight="1" x14ac:dyDescent="0.3"/>
    <row r="830" ht="12.6" customHeight="1" x14ac:dyDescent="0.3"/>
    <row r="831" ht="12.6" customHeight="1" x14ac:dyDescent="0.3"/>
    <row r="832" ht="12.6" customHeight="1" x14ac:dyDescent="0.3"/>
    <row r="833" ht="12.6" customHeight="1" x14ac:dyDescent="0.3"/>
    <row r="834" ht="12.6" customHeight="1" x14ac:dyDescent="0.3"/>
    <row r="835" ht="12.6" customHeight="1" x14ac:dyDescent="0.3"/>
    <row r="836" ht="12.6" customHeight="1" x14ac:dyDescent="0.3"/>
    <row r="837" ht="12.6" customHeight="1" x14ac:dyDescent="0.3"/>
    <row r="838" ht="12.6" customHeight="1" x14ac:dyDescent="0.3"/>
    <row r="839" ht="12.6" customHeight="1" x14ac:dyDescent="0.3"/>
    <row r="840" ht="12.6" customHeight="1" x14ac:dyDescent="0.3"/>
    <row r="841" ht="12.6" customHeight="1" x14ac:dyDescent="0.3"/>
    <row r="842" ht="12.6" customHeight="1" x14ac:dyDescent="0.3"/>
    <row r="843" ht="12.6" customHeight="1" x14ac:dyDescent="0.3"/>
    <row r="844" ht="12.6" customHeight="1" x14ac:dyDescent="0.3"/>
    <row r="845" ht="12.6" customHeight="1" x14ac:dyDescent="0.3"/>
    <row r="846" ht="12.6" customHeight="1" x14ac:dyDescent="0.3"/>
    <row r="847" ht="12.6" customHeight="1" x14ac:dyDescent="0.3"/>
    <row r="848" ht="12.6" customHeight="1" x14ac:dyDescent="0.3"/>
    <row r="849" ht="12.6" customHeight="1" x14ac:dyDescent="0.3"/>
    <row r="850" ht="12.6" customHeight="1" x14ac:dyDescent="0.3"/>
    <row r="851" ht="12.6" customHeight="1" x14ac:dyDescent="0.3"/>
    <row r="852" ht="12.6" customHeight="1" x14ac:dyDescent="0.3"/>
    <row r="853" ht="12.6" customHeight="1" x14ac:dyDescent="0.3"/>
    <row r="854" ht="12.6" customHeight="1" x14ac:dyDescent="0.3"/>
    <row r="855" ht="12.6" customHeight="1" x14ac:dyDescent="0.3"/>
    <row r="856" ht="12.6" customHeight="1" x14ac:dyDescent="0.3"/>
    <row r="857" ht="12.6" customHeight="1" x14ac:dyDescent="0.3"/>
    <row r="858" ht="12.6" customHeight="1" x14ac:dyDescent="0.3"/>
    <row r="859" ht="12.6" customHeight="1" x14ac:dyDescent="0.3"/>
    <row r="860" ht="12.6" customHeight="1" x14ac:dyDescent="0.3"/>
    <row r="861" ht="12.6" customHeight="1" x14ac:dyDescent="0.3"/>
    <row r="862" ht="12.6" customHeight="1" x14ac:dyDescent="0.3"/>
    <row r="863" ht="12.6" customHeight="1" x14ac:dyDescent="0.3"/>
    <row r="864" ht="12.6" customHeight="1" x14ac:dyDescent="0.3"/>
    <row r="865" ht="12.6" customHeight="1" x14ac:dyDescent="0.3"/>
    <row r="866" ht="12.6" customHeight="1" x14ac:dyDescent="0.3"/>
    <row r="867" ht="12.6" customHeight="1" x14ac:dyDescent="0.3"/>
    <row r="868" ht="12.6" customHeight="1" x14ac:dyDescent="0.3"/>
    <row r="869" ht="12.6" customHeight="1" x14ac:dyDescent="0.3"/>
    <row r="870" ht="12.6" customHeight="1" x14ac:dyDescent="0.3"/>
    <row r="871" ht="12.6" customHeight="1" x14ac:dyDescent="0.3"/>
    <row r="872" ht="12.6" customHeight="1" x14ac:dyDescent="0.3"/>
    <row r="873" ht="12.6" customHeight="1" x14ac:dyDescent="0.3"/>
    <row r="874" ht="12.6" customHeight="1" x14ac:dyDescent="0.3"/>
    <row r="875" ht="12.6" customHeight="1" x14ac:dyDescent="0.3"/>
    <row r="876" ht="12.6" customHeight="1" x14ac:dyDescent="0.3"/>
    <row r="877" ht="12.6" customHeight="1" x14ac:dyDescent="0.3"/>
    <row r="878" ht="12.6" customHeight="1" x14ac:dyDescent="0.3"/>
    <row r="879" ht="12.6" customHeight="1" x14ac:dyDescent="0.3"/>
    <row r="880" ht="12.6" customHeight="1" x14ac:dyDescent="0.3"/>
    <row r="881" ht="12.6" customHeight="1" x14ac:dyDescent="0.3"/>
    <row r="882" ht="12.6" customHeight="1" x14ac:dyDescent="0.3"/>
    <row r="883" ht="12.6" customHeight="1" x14ac:dyDescent="0.3"/>
    <row r="884" ht="12.6" customHeight="1" x14ac:dyDescent="0.3"/>
    <row r="885" ht="12.6" customHeight="1" x14ac:dyDescent="0.3"/>
    <row r="886" ht="12.6" customHeight="1" x14ac:dyDescent="0.3"/>
    <row r="887" ht="12.6" customHeight="1" x14ac:dyDescent="0.3"/>
    <row r="888" ht="12.6" customHeight="1" x14ac:dyDescent="0.3"/>
    <row r="889" ht="12.6" customHeight="1" x14ac:dyDescent="0.3"/>
    <row r="890" ht="12.6" customHeight="1" x14ac:dyDescent="0.3"/>
    <row r="891" ht="12.6" customHeight="1" x14ac:dyDescent="0.3"/>
    <row r="892" ht="12.6" customHeight="1" x14ac:dyDescent="0.3"/>
    <row r="893" ht="12.6" customHeight="1" x14ac:dyDescent="0.3"/>
    <row r="894" ht="12.6" customHeight="1" x14ac:dyDescent="0.3"/>
    <row r="895" ht="12.6" customHeight="1" x14ac:dyDescent="0.3"/>
    <row r="896" ht="12.6" customHeight="1" x14ac:dyDescent="0.3"/>
    <row r="897" ht="12.6" customHeight="1" x14ac:dyDescent="0.3"/>
    <row r="898" ht="12.6" customHeight="1" x14ac:dyDescent="0.3"/>
    <row r="899" ht="12.6" customHeight="1" x14ac:dyDescent="0.3"/>
    <row r="900" ht="12.6" customHeight="1" x14ac:dyDescent="0.3"/>
    <row r="901" ht="12.6" customHeight="1" x14ac:dyDescent="0.3"/>
    <row r="902" ht="12.6" customHeight="1" x14ac:dyDescent="0.3"/>
    <row r="903" ht="12.6" customHeight="1" x14ac:dyDescent="0.3"/>
    <row r="904" ht="12.6" customHeight="1" x14ac:dyDescent="0.3"/>
    <row r="905" ht="12.6" customHeight="1" x14ac:dyDescent="0.3"/>
    <row r="906" ht="12.6" customHeight="1" x14ac:dyDescent="0.3"/>
    <row r="907" ht="12.6" customHeight="1" x14ac:dyDescent="0.3"/>
    <row r="908" ht="12.6" customHeight="1" x14ac:dyDescent="0.3"/>
    <row r="909" ht="12.6" customHeight="1" x14ac:dyDescent="0.3"/>
    <row r="910" ht="12.6" customHeight="1" x14ac:dyDescent="0.3"/>
    <row r="911" ht="12.6" customHeight="1" x14ac:dyDescent="0.3"/>
    <row r="912" ht="12.6" customHeight="1" x14ac:dyDescent="0.3"/>
    <row r="913" ht="12.6" customHeight="1" x14ac:dyDescent="0.3"/>
    <row r="914" ht="12.6" customHeight="1" x14ac:dyDescent="0.3"/>
    <row r="915" ht="12.6" customHeight="1" x14ac:dyDescent="0.3"/>
    <row r="916" ht="12.6" customHeight="1" x14ac:dyDescent="0.3"/>
    <row r="917" ht="12.6" customHeight="1" x14ac:dyDescent="0.3"/>
    <row r="918" ht="12.6" customHeight="1" x14ac:dyDescent="0.3"/>
    <row r="919" ht="12.6" customHeight="1" x14ac:dyDescent="0.3"/>
    <row r="920" ht="12.6" customHeight="1" x14ac:dyDescent="0.3"/>
    <row r="921" ht="12.6" customHeight="1" x14ac:dyDescent="0.3"/>
    <row r="922" ht="12.6" customHeight="1" x14ac:dyDescent="0.3"/>
    <row r="923" ht="12.6" customHeight="1" x14ac:dyDescent="0.3"/>
    <row r="924" ht="12.6" customHeight="1" x14ac:dyDescent="0.3"/>
    <row r="925" ht="12.6" customHeight="1" x14ac:dyDescent="0.3"/>
    <row r="926" ht="12.6" customHeight="1" x14ac:dyDescent="0.3"/>
    <row r="927" ht="12.6" customHeight="1" x14ac:dyDescent="0.3"/>
    <row r="928" ht="12.6" customHeight="1" x14ac:dyDescent="0.3"/>
    <row r="929" ht="12.6" customHeight="1" x14ac:dyDescent="0.3"/>
    <row r="930" ht="12.6" customHeight="1" x14ac:dyDescent="0.3"/>
    <row r="931" ht="12.6" customHeight="1" x14ac:dyDescent="0.3"/>
    <row r="932" ht="12.6" customHeight="1" x14ac:dyDescent="0.3"/>
    <row r="933" ht="12.6" customHeight="1" x14ac:dyDescent="0.3"/>
    <row r="934" ht="12.6" customHeight="1" x14ac:dyDescent="0.3"/>
    <row r="935" ht="12.6" customHeight="1" x14ac:dyDescent="0.3"/>
    <row r="936" ht="12.6" customHeight="1" x14ac:dyDescent="0.3"/>
    <row r="937" ht="12.6" customHeight="1" x14ac:dyDescent="0.3"/>
    <row r="938" ht="12.6" customHeight="1" x14ac:dyDescent="0.3"/>
    <row r="939" ht="12.6" customHeight="1" x14ac:dyDescent="0.3"/>
    <row r="940" ht="12.6" customHeight="1" x14ac:dyDescent="0.3"/>
    <row r="941" ht="12.6" customHeight="1" x14ac:dyDescent="0.3"/>
    <row r="942" ht="12.6" customHeight="1" x14ac:dyDescent="0.3"/>
    <row r="943" ht="12.6" customHeight="1" x14ac:dyDescent="0.3"/>
    <row r="944" ht="12.6" customHeight="1" x14ac:dyDescent="0.3"/>
    <row r="945" ht="12.6" customHeight="1" x14ac:dyDescent="0.3"/>
    <row r="946" ht="12.6" customHeight="1" x14ac:dyDescent="0.3"/>
    <row r="947" ht="12.6" customHeight="1" x14ac:dyDescent="0.3"/>
    <row r="948" ht="12.6" customHeight="1" x14ac:dyDescent="0.3"/>
    <row r="949" ht="12.6" customHeight="1" x14ac:dyDescent="0.3"/>
    <row r="950" ht="12.6" customHeight="1" x14ac:dyDescent="0.3"/>
    <row r="951" ht="12.6" customHeight="1" x14ac:dyDescent="0.3"/>
    <row r="952" ht="12.6" customHeight="1" x14ac:dyDescent="0.3"/>
    <row r="953" ht="12.6" customHeight="1" x14ac:dyDescent="0.3"/>
    <row r="954" ht="12.6" customHeight="1" x14ac:dyDescent="0.3"/>
    <row r="955" ht="12.6" customHeight="1" x14ac:dyDescent="0.3"/>
    <row r="956" ht="12.6" customHeight="1" x14ac:dyDescent="0.3"/>
    <row r="957" ht="12.6" customHeight="1" x14ac:dyDescent="0.3"/>
    <row r="958" ht="12.6" customHeight="1" x14ac:dyDescent="0.3"/>
    <row r="959" ht="12.6" customHeight="1" x14ac:dyDescent="0.3"/>
    <row r="960" ht="12.6" customHeight="1" x14ac:dyDescent="0.3"/>
    <row r="961" ht="12.6" customHeight="1" x14ac:dyDescent="0.3"/>
    <row r="962" ht="12.6" customHeight="1" x14ac:dyDescent="0.3"/>
    <row r="963" ht="12.6" customHeight="1" x14ac:dyDescent="0.3"/>
    <row r="964" ht="12.6" customHeight="1" x14ac:dyDescent="0.3"/>
    <row r="965" ht="12.6" customHeight="1" x14ac:dyDescent="0.3"/>
    <row r="966" ht="12.6" customHeight="1" x14ac:dyDescent="0.3"/>
    <row r="967" ht="12.6" customHeight="1" x14ac:dyDescent="0.3"/>
    <row r="968" ht="12.6" customHeight="1" x14ac:dyDescent="0.3"/>
    <row r="969" ht="12.6" customHeight="1" x14ac:dyDescent="0.3"/>
    <row r="970" ht="12.6" customHeight="1" x14ac:dyDescent="0.3"/>
    <row r="971" ht="12.6" customHeight="1" x14ac:dyDescent="0.3"/>
    <row r="972" ht="12.6" customHeight="1" x14ac:dyDescent="0.3"/>
    <row r="973" ht="12.6" customHeight="1" x14ac:dyDescent="0.3"/>
    <row r="974" ht="12.6" customHeight="1" x14ac:dyDescent="0.3"/>
    <row r="975" ht="12.6" customHeight="1" x14ac:dyDescent="0.3"/>
    <row r="976" ht="12.6" customHeight="1" x14ac:dyDescent="0.3"/>
    <row r="977" ht="12.6" customHeight="1" x14ac:dyDescent="0.3"/>
    <row r="978" ht="12.6" customHeight="1" x14ac:dyDescent="0.3"/>
    <row r="979" ht="12.6" customHeight="1" x14ac:dyDescent="0.3"/>
    <row r="980" ht="12.6" customHeight="1" x14ac:dyDescent="0.3"/>
    <row r="981" ht="12.6" customHeight="1" x14ac:dyDescent="0.3"/>
    <row r="982" ht="12.6" customHeight="1" x14ac:dyDescent="0.3"/>
    <row r="983" ht="12.6" customHeight="1" x14ac:dyDescent="0.3"/>
    <row r="984" ht="12.6" customHeight="1" x14ac:dyDescent="0.3"/>
    <row r="985" ht="12.6" customHeight="1" x14ac:dyDescent="0.3"/>
    <row r="986" ht="12.6" customHeight="1" x14ac:dyDescent="0.3"/>
    <row r="987" ht="12.6" customHeight="1" x14ac:dyDescent="0.3"/>
    <row r="988" ht="12.6" customHeight="1" x14ac:dyDescent="0.3"/>
    <row r="989" ht="12.6" customHeight="1" x14ac:dyDescent="0.3"/>
    <row r="990" ht="12.6" customHeight="1" x14ac:dyDescent="0.3"/>
    <row r="991" ht="12.6" customHeight="1" x14ac:dyDescent="0.3"/>
    <row r="992" ht="12.6" customHeight="1" x14ac:dyDescent="0.3"/>
    <row r="993" ht="12.6" customHeight="1" x14ac:dyDescent="0.3"/>
    <row r="994" ht="12.6" customHeight="1" x14ac:dyDescent="0.3"/>
    <row r="995" ht="12.6" customHeight="1" x14ac:dyDescent="0.3"/>
    <row r="996" ht="12.6" customHeight="1" x14ac:dyDescent="0.3"/>
    <row r="997" ht="12.6" customHeight="1" x14ac:dyDescent="0.3"/>
    <row r="998" ht="12.6" customHeight="1" x14ac:dyDescent="0.3"/>
    <row r="999" ht="12.6" customHeight="1" x14ac:dyDescent="0.3"/>
    <row r="1000" ht="12.6" customHeight="1" x14ac:dyDescent="0.3"/>
  </sheetData>
  <dataValidations count="1">
    <dataValidation type="list" allowBlank="1" sqref="B6" xr:uid="{00000000-0002-0000-0100-000000000000}">
      <formula1>"A,B"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tabSelected="1" workbookViewId="0"/>
  </sheetViews>
  <sheetFormatPr defaultColWidth="14.44140625" defaultRowHeight="14.4" x14ac:dyDescent="0.3"/>
  <cols>
    <col min="1" max="1" width="46" customWidth="1"/>
    <col min="2" max="3" width="16" customWidth="1"/>
    <col min="4" max="4" width="54" customWidth="1"/>
    <col min="5" max="8" width="15" customWidth="1"/>
    <col min="9" max="26" width="8.6640625" customWidth="1"/>
  </cols>
  <sheetData>
    <row r="1" spans="1:8" ht="19.2" customHeight="1" x14ac:dyDescent="0.3">
      <c r="A1" s="1" t="s">
        <v>139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140</v>
      </c>
    </row>
    <row r="4" spans="1:8" x14ac:dyDescent="0.3">
      <c r="A4" s="7" t="s">
        <v>141</v>
      </c>
      <c r="B4" s="10"/>
      <c r="C4" s="10"/>
      <c r="D4" s="10"/>
      <c r="E4" s="10"/>
      <c r="F4" s="10"/>
      <c r="G4" s="10" t="s">
        <v>142</v>
      </c>
      <c r="H4" s="10"/>
    </row>
    <row r="5" spans="1:8" x14ac:dyDescent="0.3">
      <c r="A5" s="6" t="s">
        <v>143</v>
      </c>
      <c r="B5" s="20">
        <f>'1_Cost_Job'!B66</f>
        <v>7.5294871794871793E-2</v>
      </c>
      <c r="C5" s="3" t="s">
        <v>122</v>
      </c>
      <c r="G5" t="s">
        <v>144</v>
      </c>
      <c r="H5">
        <v>29</v>
      </c>
    </row>
    <row r="6" spans="1:8" x14ac:dyDescent="0.3">
      <c r="A6" s="6" t="s">
        <v>145</v>
      </c>
      <c r="B6" s="21">
        <v>3</v>
      </c>
      <c r="C6" s="3" t="s">
        <v>146</v>
      </c>
      <c r="D6" s="17" t="s">
        <v>147</v>
      </c>
      <c r="G6" t="s">
        <v>148</v>
      </c>
      <c r="H6">
        <v>0.23</v>
      </c>
    </row>
    <row r="7" spans="1:8" x14ac:dyDescent="0.3">
      <c r="A7" s="12" t="s">
        <v>149</v>
      </c>
      <c r="B7" s="23">
        <f>B5*B6</f>
        <v>0.22588461538461538</v>
      </c>
      <c r="C7" s="3" t="s">
        <v>122</v>
      </c>
      <c r="G7" t="s">
        <v>150</v>
      </c>
      <c r="H7">
        <f>'1_Cost_Job'!B11</f>
        <v>650</v>
      </c>
    </row>
    <row r="8" spans="1:8" x14ac:dyDescent="0.3">
      <c r="G8" t="s">
        <v>151</v>
      </c>
      <c r="H8">
        <f>H5+H6*H7</f>
        <v>178.5</v>
      </c>
    </row>
    <row r="9" spans="1:8" x14ac:dyDescent="0.3">
      <c r="A9" s="7" t="s">
        <v>152</v>
      </c>
      <c r="B9" s="10"/>
      <c r="C9" s="10"/>
      <c r="D9" s="10"/>
      <c r="E9" s="10"/>
      <c r="F9" s="10"/>
      <c r="G9" s="10" t="s">
        <v>153</v>
      </c>
      <c r="H9" s="10">
        <f>'1_Cost_Job'!B62+'1_Cost_Job'!B63</f>
        <v>48.941666666666663</v>
      </c>
    </row>
    <row r="10" spans="1:8" x14ac:dyDescent="0.3">
      <c r="A10" s="6" t="s">
        <v>154</v>
      </c>
      <c r="B10" s="25">
        <v>850</v>
      </c>
      <c r="D10" s="3" t="s">
        <v>155</v>
      </c>
      <c r="G10" t="s">
        <v>156</v>
      </c>
      <c r="H10">
        <f>IF(H8=0,0,1-H9/H8)</f>
        <v>0.72581699346405237</v>
      </c>
    </row>
    <row r="11" spans="1:8" x14ac:dyDescent="0.3">
      <c r="A11" s="6" t="s">
        <v>157</v>
      </c>
      <c r="B11" s="15">
        <f>'1_Cost_Job'!B11</f>
        <v>650</v>
      </c>
      <c r="C11" s="3" t="s">
        <v>44</v>
      </c>
      <c r="G11" t="s">
        <v>158</v>
      </c>
      <c r="H11">
        <f>H8</f>
        <v>178.5</v>
      </c>
    </row>
    <row r="12" spans="1:8" x14ac:dyDescent="0.3">
      <c r="A12" s="6" t="s">
        <v>159</v>
      </c>
      <c r="B12" s="24">
        <f>IF(B11=0,0,B10*0.1/B11)</f>
        <v>0.13076923076923078</v>
      </c>
      <c r="C12" s="3" t="s">
        <v>122</v>
      </c>
      <c r="G12" t="s">
        <v>160</v>
      </c>
      <c r="H12">
        <f>IF(H7=0,0,H8/H7)</f>
        <v>0.27461538461538459</v>
      </c>
    </row>
    <row r="13" spans="1:8" x14ac:dyDescent="0.3">
      <c r="A13" s="6" t="s">
        <v>161</v>
      </c>
      <c r="B13" s="24">
        <f>IF(B11=0,0,B10*0.25/B11)</f>
        <v>0.32692307692307693</v>
      </c>
      <c r="C13" s="3" t="s">
        <v>122</v>
      </c>
      <c r="G13" t="s">
        <v>162</v>
      </c>
      <c r="H13">
        <f>'1_Cost_Job'!B64</f>
        <v>40</v>
      </c>
    </row>
    <row r="14" spans="1:8" x14ac:dyDescent="0.3">
      <c r="A14" s="6" t="s">
        <v>163</v>
      </c>
      <c r="B14" s="25">
        <v>450</v>
      </c>
      <c r="D14" s="3" t="s">
        <v>164</v>
      </c>
      <c r="G14" t="s">
        <v>165</v>
      </c>
      <c r="H14">
        <f>H8-H9-H13</f>
        <v>89.558333333333337</v>
      </c>
    </row>
    <row r="15" spans="1:8" x14ac:dyDescent="0.3">
      <c r="A15" s="6" t="s">
        <v>166</v>
      </c>
      <c r="B15" s="24">
        <f>IF(B11=0,0,B14*0.5/B11)</f>
        <v>0.34615384615384615</v>
      </c>
      <c r="C15" s="3" t="s">
        <v>122</v>
      </c>
      <c r="G15" t="s">
        <v>167</v>
      </c>
      <c r="H15">
        <f>IF(H5+H6*'1_Cost_Job'!B9*0.5=0,0,1-('1_Cost_Job'!B9*($B$29+$B$30+$B$31*(1-0.5)))/(H5+H6*'1_Cost_Job'!B9*0.5))</f>
        <v>0.66012731481481479</v>
      </c>
    </row>
    <row r="16" spans="1:8" x14ac:dyDescent="0.3">
      <c r="A16" s="6" t="s">
        <v>168</v>
      </c>
      <c r="B16" s="24">
        <f>IF(B11=0,0,B14*0.7/B11)</f>
        <v>0.48461538461538461</v>
      </c>
      <c r="C16" s="3" t="s">
        <v>122</v>
      </c>
      <c r="G16" t="s">
        <v>169</v>
      </c>
      <c r="H16">
        <f>MAX(0,('1_Cost_Job'!B9*($B$29+$B$30+$B$31)-(1-0.5)*H5)/('1_Cost_Job'!B9*((1-0.5)*H6+$B$31)))</f>
        <v>0.29949275362318839</v>
      </c>
    </row>
    <row r="17" spans="1:8" x14ac:dyDescent="0.3">
      <c r="G17" t="s">
        <v>170</v>
      </c>
      <c r="H17">
        <f>H10</f>
        <v>0.72581699346405237</v>
      </c>
    </row>
    <row r="18" spans="1:8" x14ac:dyDescent="0.3">
      <c r="A18" s="7" t="s">
        <v>171</v>
      </c>
      <c r="B18" s="10"/>
      <c r="C18" s="10"/>
      <c r="D18" s="10"/>
      <c r="E18" s="10"/>
      <c r="F18" s="10"/>
      <c r="G18" s="10" t="s">
        <v>172</v>
      </c>
      <c r="H18" s="10">
        <f>IF(H8=0,0,H5/H8)</f>
        <v>0.16246498599439776</v>
      </c>
    </row>
    <row r="19" spans="1:8" x14ac:dyDescent="0.3">
      <c r="A19" s="6" t="s">
        <v>173</v>
      </c>
      <c r="B19" s="29">
        <f>H12</f>
        <v>0.27461538461538459</v>
      </c>
      <c r="C19" s="3" t="s">
        <v>122</v>
      </c>
      <c r="D19" s="3" t="s">
        <v>174</v>
      </c>
      <c r="G19" t="s">
        <v>175</v>
      </c>
      <c r="H19">
        <f>IF(B10=0,0,H8/B10)</f>
        <v>0.21</v>
      </c>
    </row>
    <row r="20" spans="1:8" x14ac:dyDescent="0.3">
      <c r="A20" s="6" t="s">
        <v>176</v>
      </c>
      <c r="B20" s="30">
        <f>IF(B5=0,0,B19/B5)</f>
        <v>3.6471990464839092</v>
      </c>
    </row>
    <row r="21" spans="1:8" ht="12.6" customHeight="1" x14ac:dyDescent="0.3">
      <c r="A21" s="12" t="s">
        <v>177</v>
      </c>
      <c r="B21" s="31">
        <f>H10</f>
        <v>0.72581699346405237</v>
      </c>
      <c r="D21" t="s">
        <v>178</v>
      </c>
      <c r="G21" t="s">
        <v>179</v>
      </c>
    </row>
    <row r="22" spans="1:8" ht="12.6" customHeight="1" x14ac:dyDescent="0.3">
      <c r="A22" s="6" t="s">
        <v>180</v>
      </c>
      <c r="B22" s="8" t="str">
        <f>IF(B20&gt;=B6,"OK — ĐẠT","KHÔNG ĐẠT — quay lại tab 1")</f>
        <v>OK — ĐẠT</v>
      </c>
      <c r="G22" t="s">
        <v>181</v>
      </c>
    </row>
    <row r="23" spans="1:8" ht="12.6" customHeight="1" x14ac:dyDescent="0.3">
      <c r="A23" s="6" t="s">
        <v>182</v>
      </c>
      <c r="B23" s="8" t="str">
        <f>IF(B21&gt;=0.6,"OK — AN TOÀN (≥60%)",IF(B21&gt;=0.5,"CẢNH BÁO (50–60%)","NGUY HIỂM (&lt;50%)"))</f>
        <v>OK — AN TOÀN (≥60%)</v>
      </c>
      <c r="G23" t="s">
        <v>183</v>
      </c>
    </row>
    <row r="24" spans="1:8" ht="12.6" customHeight="1" x14ac:dyDescent="0.3">
      <c r="A24" s="6" t="s">
        <v>184</v>
      </c>
      <c r="B24" s="8" t="str">
        <f>IF(B21&gt;0.85,"NGHI NGỜ — nhiều khả năng bạn quên một khoản chi phí","OK")</f>
        <v>OK</v>
      </c>
      <c r="G24" t="s">
        <v>185</v>
      </c>
    </row>
    <row r="25" spans="1:8" ht="12.6" customHeight="1" x14ac:dyDescent="0.3">
      <c r="A25" s="6" t="s">
        <v>186</v>
      </c>
      <c r="B25" s="8" t="str">
        <f>IF(AND(B19&gt;=B7,B19&lt;=MAX(B13,B16)),"OK — trong vùng giá bán","XEM LẠI — ngoài vùng giá sàn/trần")</f>
        <v>OK — trong vùng giá bán</v>
      </c>
      <c r="G25" t="s">
        <v>187</v>
      </c>
    </row>
    <row r="26" spans="1:8" ht="12.6" customHeight="1" x14ac:dyDescent="0.3"/>
    <row r="27" spans="1:8" ht="12.6" customHeight="1" x14ac:dyDescent="0.3">
      <c r="A27" s="7" t="s">
        <v>188</v>
      </c>
      <c r="B27" s="10"/>
      <c r="C27" s="10"/>
      <c r="D27" s="10"/>
      <c r="E27" s="10"/>
      <c r="F27" s="10"/>
      <c r="G27" s="10"/>
      <c r="H27" s="10"/>
    </row>
    <row r="28" spans="1:8" ht="12.6" customHeight="1" x14ac:dyDescent="0.3">
      <c r="A28" s="3" t="s">
        <v>189</v>
      </c>
    </row>
    <row r="29" spans="1:8" ht="12.6" customHeight="1" x14ac:dyDescent="0.3">
      <c r="A29" s="6" t="s">
        <v>190</v>
      </c>
      <c r="B29" s="20">
        <f>'1_Cost_Job'!B31+'1_Cost_Job'!B38+'1_Cost_Job'!B43+'1_Cost_Job'!B47</f>
        <v>3.0274999999999996E-2</v>
      </c>
    </row>
    <row r="30" spans="1:8" ht="12.6" customHeight="1" x14ac:dyDescent="0.3">
      <c r="A30" s="6" t="s">
        <v>191</v>
      </c>
      <c r="B30" s="20">
        <f>'1_Cost_Job'!B51*('1_Cost_Job'!B52/60)*'1_Cost_Job'!B50</f>
        <v>1.8666666666666668E-2</v>
      </c>
    </row>
    <row r="31" spans="1:8" ht="12.6" customHeight="1" x14ac:dyDescent="0.3">
      <c r="A31" s="6" t="s">
        <v>192</v>
      </c>
      <c r="B31" s="20">
        <f>IF('1_Cost_Job'!B6="B",('1_Cost_Job'!B53/60)*'1_Cost_Job'!B50,0)</f>
        <v>0</v>
      </c>
    </row>
    <row r="32" spans="1:8" ht="12.6" customHeight="1" x14ac:dyDescent="0.3">
      <c r="A32" s="6" t="s">
        <v>193</v>
      </c>
      <c r="B32" s="16">
        <v>0.6</v>
      </c>
    </row>
    <row r="33" spans="1:8" ht="12.6" customHeight="1" x14ac:dyDescent="0.3">
      <c r="A33" s="12" t="s">
        <v>194</v>
      </c>
      <c r="B33" s="31">
        <f>MAX(0,('1_Cost_Job'!B9*(B29+B30+B31)-(1-B32)*H5)/('1_Cost_Job'!B9*((1-B32)*H6+B31)))</f>
        <v>0.40588768115942014</v>
      </c>
      <c r="D33" s="3" t="s">
        <v>195</v>
      </c>
    </row>
    <row r="34" spans="1:8" ht="12.6" customHeight="1" x14ac:dyDescent="0.3">
      <c r="A34" s="6" t="s">
        <v>196</v>
      </c>
      <c r="B34" s="34">
        <f>'1_Cost_Job'!B10</f>
        <v>0.65</v>
      </c>
    </row>
    <row r="35" spans="1:8" ht="12.6" customHeight="1" x14ac:dyDescent="0.3">
      <c r="A35" s="6" t="s">
        <v>197</v>
      </c>
      <c r="B35" s="8" t="str">
        <f>IF(B34&gt;=B33,"ĐẠT — mô hình có lãi lành mạnh","CHƯA ĐẠT — phải tăng containment, tăng giá, hoặc đổi biến thể HITL")</f>
        <v>ĐẠT — mô hình có lãi lành mạnh</v>
      </c>
    </row>
    <row r="36" spans="1:8" ht="12.6" customHeight="1" x14ac:dyDescent="0.3"/>
    <row r="37" spans="1:8" ht="12.6" customHeight="1" x14ac:dyDescent="0.3">
      <c r="A37" s="7" t="s">
        <v>198</v>
      </c>
      <c r="B37" s="10"/>
      <c r="C37" s="10"/>
      <c r="D37" s="10"/>
      <c r="E37" s="10"/>
      <c r="F37" s="10"/>
      <c r="G37" s="10"/>
      <c r="H37" s="10"/>
    </row>
    <row r="38" spans="1:8" ht="12.6" customHeight="1" x14ac:dyDescent="0.3">
      <c r="A38" s="27" t="s">
        <v>199</v>
      </c>
      <c r="B38" s="27" t="s">
        <v>200</v>
      </c>
      <c r="C38" s="27" t="s">
        <v>201</v>
      </c>
      <c r="D38" s="27" t="s">
        <v>202</v>
      </c>
    </row>
    <row r="39" spans="1:8" ht="12.6" customHeight="1" x14ac:dyDescent="0.3">
      <c r="A39" s="40">
        <v>0.5</v>
      </c>
      <c r="B39" s="24">
        <f t="shared" ref="B39:B44" si="0">IF(A39=0,0,($B$29+$B$30+$B$31*(1-A39))/A39)</f>
        <v>9.7883333333333322E-2</v>
      </c>
      <c r="C39" s="28">
        <v>0.66012731481481479</v>
      </c>
      <c r="D39" s="8" t="str">
        <f t="shared" ref="D39:D44" si="1">IF(C39&gt;=0.6,"An toàn",IF(C39&gt;=0.5,"Cảnh báo","Nguy hiểm"))</f>
        <v>An toàn</v>
      </c>
    </row>
    <row r="40" spans="1:8" ht="12.6" customHeight="1" x14ac:dyDescent="0.3">
      <c r="A40" s="40">
        <v>0.6</v>
      </c>
      <c r="B40" s="24">
        <f t="shared" si="0"/>
        <v>8.1569444444444444E-2</v>
      </c>
      <c r="C40" s="28">
        <v>0.70693612774451098</v>
      </c>
      <c r="D40" s="8" t="str">
        <f t="shared" si="1"/>
        <v>An toàn</v>
      </c>
    </row>
    <row r="41" spans="1:8" ht="12.6" customHeight="1" x14ac:dyDescent="0.3">
      <c r="A41" s="40">
        <v>0.7</v>
      </c>
      <c r="B41" s="24">
        <f t="shared" si="0"/>
        <v>6.9916666666666669E-2</v>
      </c>
      <c r="C41" s="28">
        <v>0.74241228070175436</v>
      </c>
      <c r="D41" s="8" t="str">
        <f t="shared" si="1"/>
        <v>An toàn</v>
      </c>
    </row>
    <row r="42" spans="1:8" ht="12.6" customHeight="1" x14ac:dyDescent="0.3">
      <c r="A42" s="40">
        <v>0.8</v>
      </c>
      <c r="B42" s="24">
        <f t="shared" si="0"/>
        <v>6.1177083333333326E-2</v>
      </c>
      <c r="C42" s="28">
        <v>0.77022691705790303</v>
      </c>
      <c r="D42" s="8" t="str">
        <f t="shared" si="1"/>
        <v>An toàn</v>
      </c>
    </row>
    <row r="43" spans="1:8" ht="12.6" customHeight="1" x14ac:dyDescent="0.3">
      <c r="A43" s="40">
        <v>0.9</v>
      </c>
      <c r="B43" s="24">
        <f t="shared" si="0"/>
        <v>5.4379629629629625E-2</v>
      </c>
      <c r="C43" s="28">
        <v>0.79262005649717515</v>
      </c>
      <c r="D43" s="8" t="str">
        <f t="shared" si="1"/>
        <v>An toàn</v>
      </c>
    </row>
    <row r="44" spans="1:8" ht="12.6" customHeight="1" x14ac:dyDescent="0.3">
      <c r="A44" s="40">
        <v>0.95</v>
      </c>
      <c r="B44" s="24">
        <f t="shared" si="0"/>
        <v>5.1517543859649122E-2</v>
      </c>
      <c r="C44" s="28">
        <v>0.80225589225589222</v>
      </c>
      <c r="D44" s="8" t="str">
        <f t="shared" si="1"/>
        <v>An toàn</v>
      </c>
    </row>
    <row r="45" spans="1:8" ht="12.6" customHeight="1" x14ac:dyDescent="0.3"/>
    <row r="46" spans="1:8" ht="12.6" customHeight="1" x14ac:dyDescent="0.3">
      <c r="A46" s="3" t="s">
        <v>203</v>
      </c>
    </row>
    <row r="47" spans="1:8" ht="12.6" customHeight="1" x14ac:dyDescent="0.3"/>
    <row r="48" spans="1:8" ht="12.6" customHeight="1" x14ac:dyDescent="0.3">
      <c r="A48" s="7" t="s">
        <v>204</v>
      </c>
      <c r="B48" s="10"/>
      <c r="C48" s="10"/>
      <c r="D48" s="10"/>
      <c r="E48" s="10"/>
      <c r="F48" s="10"/>
      <c r="G48" s="10"/>
      <c r="H48" s="10"/>
    </row>
    <row r="49" spans="1:2" ht="12.6" customHeight="1" x14ac:dyDescent="0.3">
      <c r="A49" s="12" t="s">
        <v>200</v>
      </c>
      <c r="B49" s="23">
        <f>B5</f>
        <v>7.5294871794871793E-2</v>
      </c>
    </row>
    <row r="50" spans="1:2" ht="12.6" customHeight="1" x14ac:dyDescent="0.3">
      <c r="A50" s="12" t="s">
        <v>205</v>
      </c>
      <c r="B50" s="23">
        <f>B7</f>
        <v>0.22588461538461538</v>
      </c>
    </row>
    <row r="51" spans="1:2" ht="12.6" customHeight="1" x14ac:dyDescent="0.3">
      <c r="A51" s="12" t="s">
        <v>206</v>
      </c>
      <c r="B51" s="23">
        <f>B19</f>
        <v>0.27461538461538459</v>
      </c>
    </row>
    <row r="52" spans="1:2" ht="12.6" customHeight="1" x14ac:dyDescent="0.3">
      <c r="A52" s="12" t="s">
        <v>201</v>
      </c>
      <c r="B52" s="31">
        <f>B21</f>
        <v>0.72581699346405237</v>
      </c>
    </row>
    <row r="53" spans="1:2" ht="12.6" customHeight="1" x14ac:dyDescent="0.3">
      <c r="A53" s="12" t="s">
        <v>207</v>
      </c>
      <c r="B53" s="31">
        <f>B33</f>
        <v>0.40588768115942014</v>
      </c>
    </row>
    <row r="54" spans="1:2" ht="12.6" customHeight="1" x14ac:dyDescent="0.3"/>
    <row r="55" spans="1:2" ht="12.6" customHeight="1" x14ac:dyDescent="0.3"/>
    <row r="56" spans="1:2" ht="12.6" customHeight="1" x14ac:dyDescent="0.3"/>
    <row r="57" spans="1:2" ht="12.6" customHeight="1" x14ac:dyDescent="0.3"/>
    <row r="58" spans="1:2" ht="12.6" customHeight="1" x14ac:dyDescent="0.3"/>
    <row r="59" spans="1:2" ht="12.6" customHeight="1" x14ac:dyDescent="0.3"/>
    <row r="60" spans="1:2" ht="12.6" customHeight="1" x14ac:dyDescent="0.3"/>
    <row r="61" spans="1:2" ht="12.6" customHeight="1" x14ac:dyDescent="0.3"/>
    <row r="62" spans="1:2" ht="12.6" customHeight="1" x14ac:dyDescent="0.3"/>
    <row r="63" spans="1:2" ht="12.6" customHeight="1" x14ac:dyDescent="0.3"/>
    <row r="64" spans="1:2" ht="12.6" customHeight="1" x14ac:dyDescent="0.3"/>
    <row r="65" ht="12.6" customHeight="1" x14ac:dyDescent="0.3"/>
    <row r="66" ht="12.6" customHeight="1" x14ac:dyDescent="0.3"/>
    <row r="67" ht="12.6" customHeight="1" x14ac:dyDescent="0.3"/>
    <row r="68" ht="12.6" customHeight="1" x14ac:dyDescent="0.3"/>
    <row r="69" ht="12.6" customHeight="1" x14ac:dyDescent="0.3"/>
    <row r="70" ht="12.6" customHeight="1" x14ac:dyDescent="0.3"/>
    <row r="71" ht="12.6" customHeight="1" x14ac:dyDescent="0.3"/>
    <row r="72" ht="12.6" customHeight="1" x14ac:dyDescent="0.3"/>
    <row r="73" ht="12.6" customHeight="1" x14ac:dyDescent="0.3"/>
    <row r="74" ht="12.6" customHeight="1" x14ac:dyDescent="0.3"/>
    <row r="75" ht="12.6" customHeight="1" x14ac:dyDescent="0.3"/>
    <row r="76" ht="12.6" customHeight="1" x14ac:dyDescent="0.3"/>
    <row r="77" ht="12.6" customHeight="1" x14ac:dyDescent="0.3"/>
    <row r="78" ht="12.6" customHeight="1" x14ac:dyDescent="0.3"/>
    <row r="79" ht="12.6" customHeight="1" x14ac:dyDescent="0.3"/>
    <row r="80" ht="12.6" customHeight="1" x14ac:dyDescent="0.3"/>
    <row r="81" ht="12.6" customHeight="1" x14ac:dyDescent="0.3"/>
    <row r="82" ht="12.6" customHeight="1" x14ac:dyDescent="0.3"/>
    <row r="83" ht="12.6" customHeight="1" x14ac:dyDescent="0.3"/>
    <row r="84" ht="12.6" customHeight="1" x14ac:dyDescent="0.3"/>
    <row r="85" ht="12.6" customHeight="1" x14ac:dyDescent="0.3"/>
    <row r="86" ht="12.6" customHeight="1" x14ac:dyDescent="0.3"/>
    <row r="87" ht="12.6" customHeight="1" x14ac:dyDescent="0.3"/>
    <row r="88" ht="12.6" customHeight="1" x14ac:dyDescent="0.3"/>
    <row r="89" ht="12.6" customHeight="1" x14ac:dyDescent="0.3"/>
    <row r="90" ht="12.6" customHeight="1" x14ac:dyDescent="0.3"/>
    <row r="91" ht="12.6" customHeight="1" x14ac:dyDescent="0.3"/>
    <row r="92" ht="12.6" customHeight="1" x14ac:dyDescent="0.3"/>
    <row r="93" ht="12.6" customHeight="1" x14ac:dyDescent="0.3"/>
    <row r="94" ht="12.6" customHeight="1" x14ac:dyDescent="0.3"/>
    <row r="95" ht="12.6" customHeight="1" x14ac:dyDescent="0.3"/>
    <row r="96" ht="12.6" customHeight="1" x14ac:dyDescent="0.3"/>
    <row r="97" ht="12.6" customHeight="1" x14ac:dyDescent="0.3"/>
    <row r="98" ht="12.6" customHeight="1" x14ac:dyDescent="0.3"/>
    <row r="99" ht="12.6" customHeight="1" x14ac:dyDescent="0.3"/>
    <row r="100" ht="12.6" customHeight="1" x14ac:dyDescent="0.3"/>
    <row r="101" ht="12.6" customHeight="1" x14ac:dyDescent="0.3"/>
    <row r="102" ht="12.6" customHeight="1" x14ac:dyDescent="0.3"/>
    <row r="103" ht="12.6" customHeight="1" x14ac:dyDescent="0.3"/>
    <row r="104" ht="12.6" customHeight="1" x14ac:dyDescent="0.3"/>
    <row r="105" ht="12.6" customHeight="1" x14ac:dyDescent="0.3"/>
    <row r="106" ht="12.6" customHeight="1" x14ac:dyDescent="0.3"/>
    <row r="107" ht="12.6" customHeight="1" x14ac:dyDescent="0.3"/>
    <row r="108" ht="12.6" customHeight="1" x14ac:dyDescent="0.3"/>
    <row r="109" ht="12.6" customHeight="1" x14ac:dyDescent="0.3"/>
    <row r="110" ht="12.6" customHeight="1" x14ac:dyDescent="0.3"/>
    <row r="111" ht="12.6" customHeight="1" x14ac:dyDescent="0.3"/>
    <row r="112" ht="12.6" customHeight="1" x14ac:dyDescent="0.3"/>
    <row r="113" ht="12.6" customHeight="1" x14ac:dyDescent="0.3"/>
    <row r="114" ht="12.6" customHeight="1" x14ac:dyDescent="0.3"/>
    <row r="115" ht="12.6" customHeight="1" x14ac:dyDescent="0.3"/>
    <row r="116" ht="12.6" customHeight="1" x14ac:dyDescent="0.3"/>
    <row r="117" ht="12.6" customHeight="1" x14ac:dyDescent="0.3"/>
    <row r="118" ht="12.6" customHeight="1" x14ac:dyDescent="0.3"/>
    <row r="119" ht="12.6" customHeight="1" x14ac:dyDescent="0.3"/>
    <row r="120" ht="12.6" customHeight="1" x14ac:dyDescent="0.3"/>
    <row r="121" ht="12.6" customHeight="1" x14ac:dyDescent="0.3"/>
    <row r="122" ht="12.6" customHeight="1" x14ac:dyDescent="0.3"/>
    <row r="123" ht="12.6" customHeight="1" x14ac:dyDescent="0.3"/>
    <row r="124" ht="12.6" customHeight="1" x14ac:dyDescent="0.3"/>
    <row r="125" ht="12.6" customHeight="1" x14ac:dyDescent="0.3"/>
    <row r="126" ht="12.6" customHeight="1" x14ac:dyDescent="0.3"/>
    <row r="127" ht="12.6" customHeight="1" x14ac:dyDescent="0.3"/>
    <row r="128" ht="12.6" customHeight="1" x14ac:dyDescent="0.3"/>
    <row r="129" ht="12.6" customHeight="1" x14ac:dyDescent="0.3"/>
    <row r="130" ht="12.6" customHeight="1" x14ac:dyDescent="0.3"/>
    <row r="131" ht="12.6" customHeight="1" x14ac:dyDescent="0.3"/>
    <row r="132" ht="12.6" customHeight="1" x14ac:dyDescent="0.3"/>
    <row r="133" ht="12.6" customHeight="1" x14ac:dyDescent="0.3"/>
    <row r="134" ht="12.6" customHeight="1" x14ac:dyDescent="0.3"/>
    <row r="135" ht="12.6" customHeight="1" x14ac:dyDescent="0.3"/>
    <row r="136" ht="12.6" customHeight="1" x14ac:dyDescent="0.3"/>
    <row r="137" ht="12.6" customHeight="1" x14ac:dyDescent="0.3"/>
    <row r="138" ht="12.6" customHeight="1" x14ac:dyDescent="0.3"/>
    <row r="139" ht="12.6" customHeight="1" x14ac:dyDescent="0.3"/>
    <row r="140" ht="12.6" customHeight="1" x14ac:dyDescent="0.3"/>
    <row r="141" ht="12.6" customHeight="1" x14ac:dyDescent="0.3"/>
    <row r="142" ht="12.6" customHeight="1" x14ac:dyDescent="0.3"/>
    <row r="143" ht="12.6" customHeight="1" x14ac:dyDescent="0.3"/>
    <row r="144" ht="12.6" customHeight="1" x14ac:dyDescent="0.3"/>
    <row r="145" ht="12.6" customHeight="1" x14ac:dyDescent="0.3"/>
    <row r="146" ht="12.6" customHeight="1" x14ac:dyDescent="0.3"/>
    <row r="147" ht="12.6" customHeight="1" x14ac:dyDescent="0.3"/>
    <row r="148" ht="12.6" customHeight="1" x14ac:dyDescent="0.3"/>
    <row r="149" ht="12.6" customHeight="1" x14ac:dyDescent="0.3"/>
    <row r="150" ht="12.6" customHeight="1" x14ac:dyDescent="0.3"/>
    <row r="151" ht="12.6" customHeight="1" x14ac:dyDescent="0.3"/>
    <row r="152" ht="12.6" customHeight="1" x14ac:dyDescent="0.3"/>
    <row r="153" ht="12.6" customHeight="1" x14ac:dyDescent="0.3"/>
    <row r="154" ht="12.6" customHeight="1" x14ac:dyDescent="0.3"/>
    <row r="155" ht="12.6" customHeight="1" x14ac:dyDescent="0.3"/>
    <row r="156" ht="12.6" customHeight="1" x14ac:dyDescent="0.3"/>
    <row r="157" ht="12.6" customHeight="1" x14ac:dyDescent="0.3"/>
    <row r="158" ht="12.6" customHeight="1" x14ac:dyDescent="0.3"/>
    <row r="159" ht="12.6" customHeight="1" x14ac:dyDescent="0.3"/>
    <row r="160" ht="12.6" customHeight="1" x14ac:dyDescent="0.3"/>
    <row r="161" ht="12.6" customHeight="1" x14ac:dyDescent="0.3"/>
    <row r="162" ht="12.6" customHeight="1" x14ac:dyDescent="0.3"/>
    <row r="163" ht="12.6" customHeight="1" x14ac:dyDescent="0.3"/>
    <row r="164" ht="12.6" customHeight="1" x14ac:dyDescent="0.3"/>
    <row r="165" ht="12.6" customHeight="1" x14ac:dyDescent="0.3"/>
    <row r="166" ht="12.6" customHeight="1" x14ac:dyDescent="0.3"/>
    <row r="167" ht="12.6" customHeight="1" x14ac:dyDescent="0.3"/>
    <row r="168" ht="12.6" customHeight="1" x14ac:dyDescent="0.3"/>
    <row r="169" ht="12.6" customHeight="1" x14ac:dyDescent="0.3"/>
    <row r="170" ht="12.6" customHeight="1" x14ac:dyDescent="0.3"/>
    <row r="171" ht="12.6" customHeight="1" x14ac:dyDescent="0.3"/>
    <row r="172" ht="12.6" customHeight="1" x14ac:dyDescent="0.3"/>
    <row r="173" ht="12.6" customHeight="1" x14ac:dyDescent="0.3"/>
    <row r="174" ht="12.6" customHeight="1" x14ac:dyDescent="0.3"/>
    <row r="175" ht="12.6" customHeight="1" x14ac:dyDescent="0.3"/>
    <row r="176" ht="12.6" customHeight="1" x14ac:dyDescent="0.3"/>
    <row r="177" ht="12.6" customHeight="1" x14ac:dyDescent="0.3"/>
    <row r="178" ht="12.6" customHeight="1" x14ac:dyDescent="0.3"/>
    <row r="179" ht="12.6" customHeight="1" x14ac:dyDescent="0.3"/>
    <row r="180" ht="12.6" customHeight="1" x14ac:dyDescent="0.3"/>
    <row r="181" ht="12.6" customHeight="1" x14ac:dyDescent="0.3"/>
    <row r="182" ht="12.6" customHeight="1" x14ac:dyDescent="0.3"/>
    <row r="183" ht="12.6" customHeight="1" x14ac:dyDescent="0.3"/>
    <row r="184" ht="12.6" customHeight="1" x14ac:dyDescent="0.3"/>
    <row r="185" ht="12.6" customHeight="1" x14ac:dyDescent="0.3"/>
    <row r="186" ht="12.6" customHeight="1" x14ac:dyDescent="0.3"/>
    <row r="187" ht="12.6" customHeight="1" x14ac:dyDescent="0.3"/>
    <row r="188" ht="12.6" customHeight="1" x14ac:dyDescent="0.3"/>
    <row r="189" ht="12.6" customHeight="1" x14ac:dyDescent="0.3"/>
    <row r="190" ht="12.6" customHeight="1" x14ac:dyDescent="0.3"/>
    <row r="191" ht="12.6" customHeight="1" x14ac:dyDescent="0.3"/>
    <row r="192" ht="12.6" customHeight="1" x14ac:dyDescent="0.3"/>
    <row r="193" ht="12.6" customHeight="1" x14ac:dyDescent="0.3"/>
    <row r="194" ht="12.6" customHeight="1" x14ac:dyDescent="0.3"/>
    <row r="195" ht="12.6" customHeight="1" x14ac:dyDescent="0.3"/>
    <row r="196" ht="12.6" customHeight="1" x14ac:dyDescent="0.3"/>
    <row r="197" ht="12.6" customHeight="1" x14ac:dyDescent="0.3"/>
    <row r="198" ht="12.6" customHeight="1" x14ac:dyDescent="0.3"/>
    <row r="199" ht="12.6" customHeight="1" x14ac:dyDescent="0.3"/>
    <row r="200" ht="12.6" customHeight="1" x14ac:dyDescent="0.3"/>
    <row r="201" ht="12.6" customHeight="1" x14ac:dyDescent="0.3"/>
    <row r="202" ht="12.6" customHeight="1" x14ac:dyDescent="0.3"/>
    <row r="203" ht="12.6" customHeight="1" x14ac:dyDescent="0.3"/>
    <row r="204" ht="12.6" customHeight="1" x14ac:dyDescent="0.3"/>
    <row r="205" ht="12.6" customHeight="1" x14ac:dyDescent="0.3"/>
    <row r="206" ht="12.6" customHeight="1" x14ac:dyDescent="0.3"/>
    <row r="207" ht="12.6" customHeight="1" x14ac:dyDescent="0.3"/>
    <row r="208" ht="12.6" customHeight="1" x14ac:dyDescent="0.3"/>
    <row r="209" ht="12.6" customHeight="1" x14ac:dyDescent="0.3"/>
    <row r="210" ht="12.6" customHeight="1" x14ac:dyDescent="0.3"/>
    <row r="211" ht="12.6" customHeight="1" x14ac:dyDescent="0.3"/>
    <row r="212" ht="12.6" customHeight="1" x14ac:dyDescent="0.3"/>
    <row r="213" ht="12.6" customHeight="1" x14ac:dyDescent="0.3"/>
    <row r="214" ht="12.6" customHeight="1" x14ac:dyDescent="0.3"/>
    <row r="215" ht="12.6" customHeight="1" x14ac:dyDescent="0.3"/>
    <row r="216" ht="12.6" customHeight="1" x14ac:dyDescent="0.3"/>
    <row r="217" ht="12.6" customHeight="1" x14ac:dyDescent="0.3"/>
    <row r="218" ht="12.6" customHeight="1" x14ac:dyDescent="0.3"/>
    <row r="219" ht="12.6" customHeight="1" x14ac:dyDescent="0.3"/>
    <row r="220" ht="12.6" customHeight="1" x14ac:dyDescent="0.3"/>
    <row r="221" ht="12.6" customHeight="1" x14ac:dyDescent="0.3"/>
    <row r="222" ht="12.6" customHeight="1" x14ac:dyDescent="0.3"/>
    <row r="223" ht="12.6" customHeight="1" x14ac:dyDescent="0.3"/>
    <row r="224" ht="12.6" customHeight="1" x14ac:dyDescent="0.3"/>
    <row r="225" ht="12.6" customHeight="1" x14ac:dyDescent="0.3"/>
    <row r="226" ht="12.6" customHeight="1" x14ac:dyDescent="0.3"/>
    <row r="227" ht="12.6" customHeight="1" x14ac:dyDescent="0.3"/>
    <row r="228" ht="12.6" customHeight="1" x14ac:dyDescent="0.3"/>
    <row r="229" ht="12.6" customHeight="1" x14ac:dyDescent="0.3"/>
    <row r="230" ht="12.6" customHeight="1" x14ac:dyDescent="0.3"/>
    <row r="231" ht="12.6" customHeight="1" x14ac:dyDescent="0.3"/>
    <row r="232" ht="12.6" customHeight="1" x14ac:dyDescent="0.3"/>
    <row r="233" ht="12.6" customHeight="1" x14ac:dyDescent="0.3"/>
    <row r="234" ht="12.6" customHeight="1" x14ac:dyDescent="0.3"/>
    <row r="235" ht="12.6" customHeight="1" x14ac:dyDescent="0.3"/>
    <row r="236" ht="12.6" customHeight="1" x14ac:dyDescent="0.3"/>
    <row r="237" ht="12.6" customHeight="1" x14ac:dyDescent="0.3"/>
    <row r="238" ht="12.6" customHeight="1" x14ac:dyDescent="0.3"/>
    <row r="239" ht="12.6" customHeight="1" x14ac:dyDescent="0.3"/>
    <row r="240" ht="12.6" customHeight="1" x14ac:dyDescent="0.3"/>
    <row r="241" ht="12.6" customHeight="1" x14ac:dyDescent="0.3"/>
    <row r="242" ht="12.6" customHeight="1" x14ac:dyDescent="0.3"/>
    <row r="243" ht="12.6" customHeight="1" x14ac:dyDescent="0.3"/>
    <row r="244" ht="12.6" customHeight="1" x14ac:dyDescent="0.3"/>
    <row r="245" ht="12.6" customHeight="1" x14ac:dyDescent="0.3"/>
    <row r="246" ht="12.6" customHeight="1" x14ac:dyDescent="0.3"/>
    <row r="247" ht="12.6" customHeight="1" x14ac:dyDescent="0.3"/>
    <row r="248" ht="12.6" customHeight="1" x14ac:dyDescent="0.3"/>
    <row r="249" ht="12.6" customHeight="1" x14ac:dyDescent="0.3"/>
    <row r="250" ht="12.6" customHeight="1" x14ac:dyDescent="0.3"/>
    <row r="251" ht="12.6" customHeight="1" x14ac:dyDescent="0.3"/>
    <row r="252" ht="12.6" customHeight="1" x14ac:dyDescent="0.3"/>
    <row r="253" ht="12.6" customHeight="1" x14ac:dyDescent="0.3"/>
    <row r="254" ht="12.6" customHeight="1" x14ac:dyDescent="0.3"/>
    <row r="255" ht="12.6" customHeight="1" x14ac:dyDescent="0.3"/>
    <row r="256" ht="12.6" customHeight="1" x14ac:dyDescent="0.3"/>
    <row r="257" ht="12.6" customHeight="1" x14ac:dyDescent="0.3"/>
    <row r="258" ht="12.6" customHeight="1" x14ac:dyDescent="0.3"/>
    <row r="259" ht="12.6" customHeight="1" x14ac:dyDescent="0.3"/>
    <row r="260" ht="12.6" customHeight="1" x14ac:dyDescent="0.3"/>
    <row r="261" ht="12.6" customHeight="1" x14ac:dyDescent="0.3"/>
    <row r="262" ht="12.6" customHeight="1" x14ac:dyDescent="0.3"/>
    <row r="263" ht="12.6" customHeight="1" x14ac:dyDescent="0.3"/>
    <row r="264" ht="12.6" customHeight="1" x14ac:dyDescent="0.3"/>
    <row r="265" ht="12.6" customHeight="1" x14ac:dyDescent="0.3"/>
    <row r="266" ht="12.6" customHeight="1" x14ac:dyDescent="0.3"/>
    <row r="267" ht="12.6" customHeight="1" x14ac:dyDescent="0.3"/>
    <row r="268" ht="12.6" customHeight="1" x14ac:dyDescent="0.3"/>
    <row r="269" ht="12.6" customHeight="1" x14ac:dyDescent="0.3"/>
    <row r="270" ht="12.6" customHeight="1" x14ac:dyDescent="0.3"/>
    <row r="271" ht="12.6" customHeight="1" x14ac:dyDescent="0.3"/>
    <row r="272" ht="12.6" customHeight="1" x14ac:dyDescent="0.3"/>
    <row r="273" ht="12.6" customHeight="1" x14ac:dyDescent="0.3"/>
    <row r="274" ht="12.6" customHeight="1" x14ac:dyDescent="0.3"/>
    <row r="275" ht="12.6" customHeight="1" x14ac:dyDescent="0.3"/>
    <row r="276" ht="12.6" customHeight="1" x14ac:dyDescent="0.3"/>
    <row r="277" ht="12.6" customHeight="1" x14ac:dyDescent="0.3"/>
    <row r="278" ht="12.6" customHeight="1" x14ac:dyDescent="0.3"/>
    <row r="279" ht="12.6" customHeight="1" x14ac:dyDescent="0.3"/>
    <row r="280" ht="12.6" customHeight="1" x14ac:dyDescent="0.3"/>
    <row r="281" ht="12.6" customHeight="1" x14ac:dyDescent="0.3"/>
    <row r="282" ht="12.6" customHeight="1" x14ac:dyDescent="0.3"/>
    <row r="283" ht="12.6" customHeight="1" x14ac:dyDescent="0.3"/>
    <row r="284" ht="12.6" customHeight="1" x14ac:dyDescent="0.3"/>
    <row r="285" ht="12.6" customHeight="1" x14ac:dyDescent="0.3"/>
    <row r="286" ht="12.6" customHeight="1" x14ac:dyDescent="0.3"/>
    <row r="287" ht="12.6" customHeight="1" x14ac:dyDescent="0.3"/>
    <row r="288" ht="12.6" customHeight="1" x14ac:dyDescent="0.3"/>
    <row r="289" ht="12.6" customHeight="1" x14ac:dyDescent="0.3"/>
    <row r="290" ht="12.6" customHeight="1" x14ac:dyDescent="0.3"/>
    <row r="291" ht="12.6" customHeight="1" x14ac:dyDescent="0.3"/>
    <row r="292" ht="12.6" customHeight="1" x14ac:dyDescent="0.3"/>
    <row r="293" ht="12.6" customHeight="1" x14ac:dyDescent="0.3"/>
    <row r="294" ht="12.6" customHeight="1" x14ac:dyDescent="0.3"/>
    <row r="295" ht="12.6" customHeight="1" x14ac:dyDescent="0.3"/>
    <row r="296" ht="12.6" customHeight="1" x14ac:dyDescent="0.3"/>
    <row r="297" ht="12.6" customHeight="1" x14ac:dyDescent="0.3"/>
    <row r="298" ht="12.6" customHeight="1" x14ac:dyDescent="0.3"/>
    <row r="299" ht="12.6" customHeight="1" x14ac:dyDescent="0.3"/>
    <row r="300" ht="12.6" customHeight="1" x14ac:dyDescent="0.3"/>
    <row r="301" ht="12.6" customHeight="1" x14ac:dyDescent="0.3"/>
    <row r="302" ht="12.6" customHeight="1" x14ac:dyDescent="0.3"/>
    <row r="303" ht="12.6" customHeight="1" x14ac:dyDescent="0.3"/>
    <row r="304" ht="12.6" customHeight="1" x14ac:dyDescent="0.3"/>
    <row r="305" ht="12.6" customHeight="1" x14ac:dyDescent="0.3"/>
    <row r="306" ht="12.6" customHeight="1" x14ac:dyDescent="0.3"/>
    <row r="307" ht="12.6" customHeight="1" x14ac:dyDescent="0.3"/>
    <row r="308" ht="12.6" customHeight="1" x14ac:dyDescent="0.3"/>
    <row r="309" ht="12.6" customHeight="1" x14ac:dyDescent="0.3"/>
    <row r="310" ht="12.6" customHeight="1" x14ac:dyDescent="0.3"/>
    <row r="311" ht="12.6" customHeight="1" x14ac:dyDescent="0.3"/>
    <row r="312" ht="12.6" customHeight="1" x14ac:dyDescent="0.3"/>
    <row r="313" ht="12.6" customHeight="1" x14ac:dyDescent="0.3"/>
    <row r="314" ht="12.6" customHeight="1" x14ac:dyDescent="0.3"/>
    <row r="315" ht="12.6" customHeight="1" x14ac:dyDescent="0.3"/>
    <row r="316" ht="12.6" customHeight="1" x14ac:dyDescent="0.3"/>
    <row r="317" ht="12.6" customHeight="1" x14ac:dyDescent="0.3"/>
    <row r="318" ht="12.6" customHeight="1" x14ac:dyDescent="0.3"/>
    <row r="319" ht="12.6" customHeight="1" x14ac:dyDescent="0.3"/>
    <row r="320" ht="12.6" customHeight="1" x14ac:dyDescent="0.3"/>
    <row r="321" ht="12.6" customHeight="1" x14ac:dyDescent="0.3"/>
    <row r="322" ht="12.6" customHeight="1" x14ac:dyDescent="0.3"/>
    <row r="323" ht="12.6" customHeight="1" x14ac:dyDescent="0.3"/>
    <row r="324" ht="12.6" customHeight="1" x14ac:dyDescent="0.3"/>
    <row r="325" ht="12.6" customHeight="1" x14ac:dyDescent="0.3"/>
    <row r="326" ht="12.6" customHeight="1" x14ac:dyDescent="0.3"/>
    <row r="327" ht="12.6" customHeight="1" x14ac:dyDescent="0.3"/>
    <row r="328" ht="12.6" customHeight="1" x14ac:dyDescent="0.3"/>
    <row r="329" ht="12.6" customHeight="1" x14ac:dyDescent="0.3"/>
    <row r="330" ht="12.6" customHeight="1" x14ac:dyDescent="0.3"/>
    <row r="331" ht="12.6" customHeight="1" x14ac:dyDescent="0.3"/>
    <row r="332" ht="12.6" customHeight="1" x14ac:dyDescent="0.3"/>
    <row r="333" ht="12.6" customHeight="1" x14ac:dyDescent="0.3"/>
    <row r="334" ht="12.6" customHeight="1" x14ac:dyDescent="0.3"/>
    <row r="335" ht="12.6" customHeight="1" x14ac:dyDescent="0.3"/>
    <row r="336" ht="12.6" customHeight="1" x14ac:dyDescent="0.3"/>
    <row r="337" ht="12.6" customHeight="1" x14ac:dyDescent="0.3"/>
    <row r="338" ht="12.6" customHeight="1" x14ac:dyDescent="0.3"/>
    <row r="339" ht="12.6" customHeight="1" x14ac:dyDescent="0.3"/>
    <row r="340" ht="12.6" customHeight="1" x14ac:dyDescent="0.3"/>
    <row r="341" ht="12.6" customHeight="1" x14ac:dyDescent="0.3"/>
    <row r="342" ht="12.6" customHeight="1" x14ac:dyDescent="0.3"/>
    <row r="343" ht="12.6" customHeight="1" x14ac:dyDescent="0.3"/>
    <row r="344" ht="12.6" customHeight="1" x14ac:dyDescent="0.3"/>
    <row r="345" ht="12.6" customHeight="1" x14ac:dyDescent="0.3"/>
    <row r="346" ht="12.6" customHeight="1" x14ac:dyDescent="0.3"/>
    <row r="347" ht="12.6" customHeight="1" x14ac:dyDescent="0.3"/>
    <row r="348" ht="12.6" customHeight="1" x14ac:dyDescent="0.3"/>
    <row r="349" ht="12.6" customHeight="1" x14ac:dyDescent="0.3"/>
    <row r="350" ht="12.6" customHeight="1" x14ac:dyDescent="0.3"/>
    <row r="351" ht="12.6" customHeight="1" x14ac:dyDescent="0.3"/>
    <row r="352" ht="12.6" customHeight="1" x14ac:dyDescent="0.3"/>
    <row r="353" ht="12.6" customHeight="1" x14ac:dyDescent="0.3"/>
    <row r="354" ht="12.6" customHeight="1" x14ac:dyDescent="0.3"/>
    <row r="355" ht="12.6" customHeight="1" x14ac:dyDescent="0.3"/>
    <row r="356" ht="12.6" customHeight="1" x14ac:dyDescent="0.3"/>
    <row r="357" ht="12.6" customHeight="1" x14ac:dyDescent="0.3"/>
    <row r="358" ht="12.6" customHeight="1" x14ac:dyDescent="0.3"/>
    <row r="359" ht="12.6" customHeight="1" x14ac:dyDescent="0.3"/>
    <row r="360" ht="12.6" customHeight="1" x14ac:dyDescent="0.3"/>
    <row r="361" ht="12.6" customHeight="1" x14ac:dyDescent="0.3"/>
    <row r="362" ht="12.6" customHeight="1" x14ac:dyDescent="0.3"/>
    <row r="363" ht="12.6" customHeight="1" x14ac:dyDescent="0.3"/>
    <row r="364" ht="12.6" customHeight="1" x14ac:dyDescent="0.3"/>
    <row r="365" ht="12.6" customHeight="1" x14ac:dyDescent="0.3"/>
    <row r="366" ht="12.6" customHeight="1" x14ac:dyDescent="0.3"/>
    <row r="367" ht="12.6" customHeight="1" x14ac:dyDescent="0.3"/>
    <row r="368" ht="12.6" customHeight="1" x14ac:dyDescent="0.3"/>
    <row r="369" ht="12.6" customHeight="1" x14ac:dyDescent="0.3"/>
    <row r="370" ht="12.6" customHeight="1" x14ac:dyDescent="0.3"/>
    <row r="371" ht="12.6" customHeight="1" x14ac:dyDescent="0.3"/>
    <row r="372" ht="12.6" customHeight="1" x14ac:dyDescent="0.3"/>
    <row r="373" ht="12.6" customHeight="1" x14ac:dyDescent="0.3"/>
    <row r="374" ht="12.6" customHeight="1" x14ac:dyDescent="0.3"/>
    <row r="375" ht="12.6" customHeight="1" x14ac:dyDescent="0.3"/>
    <row r="376" ht="12.6" customHeight="1" x14ac:dyDescent="0.3"/>
    <row r="377" ht="12.6" customHeight="1" x14ac:dyDescent="0.3"/>
    <row r="378" ht="12.6" customHeight="1" x14ac:dyDescent="0.3"/>
    <row r="379" ht="12.6" customHeight="1" x14ac:dyDescent="0.3"/>
    <row r="380" ht="12.6" customHeight="1" x14ac:dyDescent="0.3"/>
    <row r="381" ht="12.6" customHeight="1" x14ac:dyDescent="0.3"/>
    <row r="382" ht="12.6" customHeight="1" x14ac:dyDescent="0.3"/>
    <row r="383" ht="12.6" customHeight="1" x14ac:dyDescent="0.3"/>
    <row r="384" ht="12.6" customHeight="1" x14ac:dyDescent="0.3"/>
    <row r="385" ht="12.6" customHeight="1" x14ac:dyDescent="0.3"/>
    <row r="386" ht="12.6" customHeight="1" x14ac:dyDescent="0.3"/>
    <row r="387" ht="12.6" customHeight="1" x14ac:dyDescent="0.3"/>
    <row r="388" ht="12.6" customHeight="1" x14ac:dyDescent="0.3"/>
    <row r="389" ht="12.6" customHeight="1" x14ac:dyDescent="0.3"/>
    <row r="390" ht="12.6" customHeight="1" x14ac:dyDescent="0.3"/>
    <row r="391" ht="12.6" customHeight="1" x14ac:dyDescent="0.3"/>
    <row r="392" ht="12.6" customHeight="1" x14ac:dyDescent="0.3"/>
    <row r="393" ht="12.6" customHeight="1" x14ac:dyDescent="0.3"/>
    <row r="394" ht="12.6" customHeight="1" x14ac:dyDescent="0.3"/>
    <row r="395" ht="12.6" customHeight="1" x14ac:dyDescent="0.3"/>
    <row r="396" ht="12.6" customHeight="1" x14ac:dyDescent="0.3"/>
    <row r="397" ht="12.6" customHeight="1" x14ac:dyDescent="0.3"/>
    <row r="398" ht="12.6" customHeight="1" x14ac:dyDescent="0.3"/>
    <row r="399" ht="12.6" customHeight="1" x14ac:dyDescent="0.3"/>
    <row r="400" ht="12.6" customHeight="1" x14ac:dyDescent="0.3"/>
    <row r="401" ht="12.6" customHeight="1" x14ac:dyDescent="0.3"/>
    <row r="402" ht="12.6" customHeight="1" x14ac:dyDescent="0.3"/>
    <row r="403" ht="12.6" customHeight="1" x14ac:dyDescent="0.3"/>
    <row r="404" ht="12.6" customHeight="1" x14ac:dyDescent="0.3"/>
    <row r="405" ht="12.6" customHeight="1" x14ac:dyDescent="0.3"/>
    <row r="406" ht="12.6" customHeight="1" x14ac:dyDescent="0.3"/>
    <row r="407" ht="12.6" customHeight="1" x14ac:dyDescent="0.3"/>
    <row r="408" ht="12.6" customHeight="1" x14ac:dyDescent="0.3"/>
    <row r="409" ht="12.6" customHeight="1" x14ac:dyDescent="0.3"/>
    <row r="410" ht="12.6" customHeight="1" x14ac:dyDescent="0.3"/>
    <row r="411" ht="12.6" customHeight="1" x14ac:dyDescent="0.3"/>
    <row r="412" ht="12.6" customHeight="1" x14ac:dyDescent="0.3"/>
    <row r="413" ht="12.6" customHeight="1" x14ac:dyDescent="0.3"/>
    <row r="414" ht="12.6" customHeight="1" x14ac:dyDescent="0.3"/>
    <row r="415" ht="12.6" customHeight="1" x14ac:dyDescent="0.3"/>
    <row r="416" ht="12.6" customHeight="1" x14ac:dyDescent="0.3"/>
    <row r="417" ht="12.6" customHeight="1" x14ac:dyDescent="0.3"/>
    <row r="418" ht="12.6" customHeight="1" x14ac:dyDescent="0.3"/>
    <row r="419" ht="12.6" customHeight="1" x14ac:dyDescent="0.3"/>
    <row r="420" ht="12.6" customHeight="1" x14ac:dyDescent="0.3"/>
    <row r="421" ht="12.6" customHeight="1" x14ac:dyDescent="0.3"/>
    <row r="422" ht="12.6" customHeight="1" x14ac:dyDescent="0.3"/>
    <row r="423" ht="12.6" customHeight="1" x14ac:dyDescent="0.3"/>
    <row r="424" ht="12.6" customHeight="1" x14ac:dyDescent="0.3"/>
    <row r="425" ht="12.6" customHeight="1" x14ac:dyDescent="0.3"/>
    <row r="426" ht="12.6" customHeight="1" x14ac:dyDescent="0.3"/>
    <row r="427" ht="12.6" customHeight="1" x14ac:dyDescent="0.3"/>
    <row r="428" ht="12.6" customHeight="1" x14ac:dyDescent="0.3"/>
    <row r="429" ht="12.6" customHeight="1" x14ac:dyDescent="0.3"/>
    <row r="430" ht="12.6" customHeight="1" x14ac:dyDescent="0.3"/>
    <row r="431" ht="12.6" customHeight="1" x14ac:dyDescent="0.3"/>
    <row r="432" ht="12.6" customHeight="1" x14ac:dyDescent="0.3"/>
    <row r="433" ht="12.6" customHeight="1" x14ac:dyDescent="0.3"/>
    <row r="434" ht="12.6" customHeight="1" x14ac:dyDescent="0.3"/>
    <row r="435" ht="12.6" customHeight="1" x14ac:dyDescent="0.3"/>
    <row r="436" ht="12.6" customHeight="1" x14ac:dyDescent="0.3"/>
    <row r="437" ht="12.6" customHeight="1" x14ac:dyDescent="0.3"/>
    <row r="438" ht="12.6" customHeight="1" x14ac:dyDescent="0.3"/>
    <row r="439" ht="12.6" customHeight="1" x14ac:dyDescent="0.3"/>
    <row r="440" ht="12.6" customHeight="1" x14ac:dyDescent="0.3"/>
    <row r="441" ht="12.6" customHeight="1" x14ac:dyDescent="0.3"/>
    <row r="442" ht="12.6" customHeight="1" x14ac:dyDescent="0.3"/>
    <row r="443" ht="12.6" customHeight="1" x14ac:dyDescent="0.3"/>
    <row r="444" ht="12.6" customHeight="1" x14ac:dyDescent="0.3"/>
    <row r="445" ht="12.6" customHeight="1" x14ac:dyDescent="0.3"/>
    <row r="446" ht="12.6" customHeight="1" x14ac:dyDescent="0.3"/>
    <row r="447" ht="12.6" customHeight="1" x14ac:dyDescent="0.3"/>
    <row r="448" ht="12.6" customHeight="1" x14ac:dyDescent="0.3"/>
    <row r="449" ht="12.6" customHeight="1" x14ac:dyDescent="0.3"/>
    <row r="450" ht="12.6" customHeight="1" x14ac:dyDescent="0.3"/>
    <row r="451" ht="12.6" customHeight="1" x14ac:dyDescent="0.3"/>
    <row r="452" ht="12.6" customHeight="1" x14ac:dyDescent="0.3"/>
    <row r="453" ht="12.6" customHeight="1" x14ac:dyDescent="0.3"/>
    <row r="454" ht="12.6" customHeight="1" x14ac:dyDescent="0.3"/>
    <row r="455" ht="12.6" customHeight="1" x14ac:dyDescent="0.3"/>
    <row r="456" ht="12.6" customHeight="1" x14ac:dyDescent="0.3"/>
    <row r="457" ht="12.6" customHeight="1" x14ac:dyDescent="0.3"/>
    <row r="458" ht="12.6" customHeight="1" x14ac:dyDescent="0.3"/>
    <row r="459" ht="12.6" customHeight="1" x14ac:dyDescent="0.3"/>
    <row r="460" ht="12.6" customHeight="1" x14ac:dyDescent="0.3"/>
    <row r="461" ht="12.6" customHeight="1" x14ac:dyDescent="0.3"/>
    <row r="462" ht="12.6" customHeight="1" x14ac:dyDescent="0.3"/>
    <row r="463" ht="12.6" customHeight="1" x14ac:dyDescent="0.3"/>
    <row r="464" ht="12.6" customHeight="1" x14ac:dyDescent="0.3"/>
    <row r="465" ht="12.6" customHeight="1" x14ac:dyDescent="0.3"/>
    <row r="466" ht="12.6" customHeight="1" x14ac:dyDescent="0.3"/>
    <row r="467" ht="12.6" customHeight="1" x14ac:dyDescent="0.3"/>
    <row r="468" ht="12.6" customHeight="1" x14ac:dyDescent="0.3"/>
    <row r="469" ht="12.6" customHeight="1" x14ac:dyDescent="0.3"/>
    <row r="470" ht="12.6" customHeight="1" x14ac:dyDescent="0.3"/>
    <row r="471" ht="12.6" customHeight="1" x14ac:dyDescent="0.3"/>
    <row r="472" ht="12.6" customHeight="1" x14ac:dyDescent="0.3"/>
    <row r="473" ht="12.6" customHeight="1" x14ac:dyDescent="0.3"/>
    <row r="474" ht="12.6" customHeight="1" x14ac:dyDescent="0.3"/>
    <row r="475" ht="12.6" customHeight="1" x14ac:dyDescent="0.3"/>
    <row r="476" ht="12.6" customHeight="1" x14ac:dyDescent="0.3"/>
    <row r="477" ht="12.6" customHeight="1" x14ac:dyDescent="0.3"/>
    <row r="478" ht="12.6" customHeight="1" x14ac:dyDescent="0.3"/>
    <row r="479" ht="12.6" customHeight="1" x14ac:dyDescent="0.3"/>
    <row r="480" ht="12.6" customHeight="1" x14ac:dyDescent="0.3"/>
    <row r="481" ht="12.6" customHeight="1" x14ac:dyDescent="0.3"/>
    <row r="482" ht="12.6" customHeight="1" x14ac:dyDescent="0.3"/>
    <row r="483" ht="12.6" customHeight="1" x14ac:dyDescent="0.3"/>
    <row r="484" ht="12.6" customHeight="1" x14ac:dyDescent="0.3"/>
    <row r="485" ht="12.6" customHeight="1" x14ac:dyDescent="0.3"/>
    <row r="486" ht="12.6" customHeight="1" x14ac:dyDescent="0.3"/>
    <row r="487" ht="12.6" customHeight="1" x14ac:dyDescent="0.3"/>
    <row r="488" ht="12.6" customHeight="1" x14ac:dyDescent="0.3"/>
    <row r="489" ht="12.6" customHeight="1" x14ac:dyDescent="0.3"/>
    <row r="490" ht="12.6" customHeight="1" x14ac:dyDescent="0.3"/>
    <row r="491" ht="12.6" customHeight="1" x14ac:dyDescent="0.3"/>
    <row r="492" ht="12.6" customHeight="1" x14ac:dyDescent="0.3"/>
    <row r="493" ht="12.6" customHeight="1" x14ac:dyDescent="0.3"/>
    <row r="494" ht="12.6" customHeight="1" x14ac:dyDescent="0.3"/>
    <row r="495" ht="12.6" customHeight="1" x14ac:dyDescent="0.3"/>
    <row r="496" ht="12.6" customHeight="1" x14ac:dyDescent="0.3"/>
    <row r="497" ht="12.6" customHeight="1" x14ac:dyDescent="0.3"/>
    <row r="498" ht="12.6" customHeight="1" x14ac:dyDescent="0.3"/>
    <row r="499" ht="12.6" customHeight="1" x14ac:dyDescent="0.3"/>
    <row r="500" ht="12.6" customHeight="1" x14ac:dyDescent="0.3"/>
    <row r="501" ht="12.6" customHeight="1" x14ac:dyDescent="0.3"/>
    <row r="502" ht="12.6" customHeight="1" x14ac:dyDescent="0.3"/>
    <row r="503" ht="12.6" customHeight="1" x14ac:dyDescent="0.3"/>
    <row r="504" ht="12.6" customHeight="1" x14ac:dyDescent="0.3"/>
    <row r="505" ht="12.6" customHeight="1" x14ac:dyDescent="0.3"/>
    <row r="506" ht="12.6" customHeight="1" x14ac:dyDescent="0.3"/>
    <row r="507" ht="12.6" customHeight="1" x14ac:dyDescent="0.3"/>
    <row r="508" ht="12.6" customHeight="1" x14ac:dyDescent="0.3"/>
    <row r="509" ht="12.6" customHeight="1" x14ac:dyDescent="0.3"/>
    <row r="510" ht="12.6" customHeight="1" x14ac:dyDescent="0.3"/>
    <row r="511" ht="12.6" customHeight="1" x14ac:dyDescent="0.3"/>
    <row r="512" ht="12.6" customHeight="1" x14ac:dyDescent="0.3"/>
    <row r="513" ht="12.6" customHeight="1" x14ac:dyDescent="0.3"/>
    <row r="514" ht="12.6" customHeight="1" x14ac:dyDescent="0.3"/>
    <row r="515" ht="12.6" customHeight="1" x14ac:dyDescent="0.3"/>
    <row r="516" ht="12.6" customHeight="1" x14ac:dyDescent="0.3"/>
    <row r="517" ht="12.6" customHeight="1" x14ac:dyDescent="0.3"/>
    <row r="518" ht="12.6" customHeight="1" x14ac:dyDescent="0.3"/>
    <row r="519" ht="12.6" customHeight="1" x14ac:dyDescent="0.3"/>
    <row r="520" ht="12.6" customHeight="1" x14ac:dyDescent="0.3"/>
    <row r="521" ht="12.6" customHeight="1" x14ac:dyDescent="0.3"/>
    <row r="522" ht="12.6" customHeight="1" x14ac:dyDescent="0.3"/>
    <row r="523" ht="12.6" customHeight="1" x14ac:dyDescent="0.3"/>
    <row r="524" ht="12.6" customHeight="1" x14ac:dyDescent="0.3"/>
    <row r="525" ht="12.6" customHeight="1" x14ac:dyDescent="0.3"/>
    <row r="526" ht="12.6" customHeight="1" x14ac:dyDescent="0.3"/>
    <row r="527" ht="12.6" customHeight="1" x14ac:dyDescent="0.3"/>
    <row r="528" ht="12.6" customHeight="1" x14ac:dyDescent="0.3"/>
    <row r="529" ht="12.6" customHeight="1" x14ac:dyDescent="0.3"/>
    <row r="530" ht="12.6" customHeight="1" x14ac:dyDescent="0.3"/>
    <row r="531" ht="12.6" customHeight="1" x14ac:dyDescent="0.3"/>
    <row r="532" ht="12.6" customHeight="1" x14ac:dyDescent="0.3"/>
    <row r="533" ht="12.6" customHeight="1" x14ac:dyDescent="0.3"/>
    <row r="534" ht="12.6" customHeight="1" x14ac:dyDescent="0.3"/>
    <row r="535" ht="12.6" customHeight="1" x14ac:dyDescent="0.3"/>
    <row r="536" ht="12.6" customHeight="1" x14ac:dyDescent="0.3"/>
    <row r="537" ht="12.6" customHeight="1" x14ac:dyDescent="0.3"/>
    <row r="538" ht="12.6" customHeight="1" x14ac:dyDescent="0.3"/>
    <row r="539" ht="12.6" customHeight="1" x14ac:dyDescent="0.3"/>
    <row r="540" ht="12.6" customHeight="1" x14ac:dyDescent="0.3"/>
    <row r="541" ht="12.6" customHeight="1" x14ac:dyDescent="0.3"/>
    <row r="542" ht="12.6" customHeight="1" x14ac:dyDescent="0.3"/>
    <row r="543" ht="12.6" customHeight="1" x14ac:dyDescent="0.3"/>
    <row r="544" ht="12.6" customHeight="1" x14ac:dyDescent="0.3"/>
    <row r="545" ht="12.6" customHeight="1" x14ac:dyDescent="0.3"/>
    <row r="546" ht="12.6" customHeight="1" x14ac:dyDescent="0.3"/>
    <row r="547" ht="12.6" customHeight="1" x14ac:dyDescent="0.3"/>
    <row r="548" ht="12.6" customHeight="1" x14ac:dyDescent="0.3"/>
    <row r="549" ht="12.6" customHeight="1" x14ac:dyDescent="0.3"/>
    <row r="550" ht="12.6" customHeight="1" x14ac:dyDescent="0.3"/>
    <row r="551" ht="12.6" customHeight="1" x14ac:dyDescent="0.3"/>
    <row r="552" ht="12.6" customHeight="1" x14ac:dyDescent="0.3"/>
    <row r="553" ht="12.6" customHeight="1" x14ac:dyDescent="0.3"/>
    <row r="554" ht="12.6" customHeight="1" x14ac:dyDescent="0.3"/>
    <row r="555" ht="12.6" customHeight="1" x14ac:dyDescent="0.3"/>
    <row r="556" ht="12.6" customHeight="1" x14ac:dyDescent="0.3"/>
    <row r="557" ht="12.6" customHeight="1" x14ac:dyDescent="0.3"/>
    <row r="558" ht="12.6" customHeight="1" x14ac:dyDescent="0.3"/>
    <row r="559" ht="12.6" customHeight="1" x14ac:dyDescent="0.3"/>
    <row r="560" ht="12.6" customHeight="1" x14ac:dyDescent="0.3"/>
    <row r="561" ht="12.6" customHeight="1" x14ac:dyDescent="0.3"/>
    <row r="562" ht="12.6" customHeight="1" x14ac:dyDescent="0.3"/>
    <row r="563" ht="12.6" customHeight="1" x14ac:dyDescent="0.3"/>
    <row r="564" ht="12.6" customHeight="1" x14ac:dyDescent="0.3"/>
    <row r="565" ht="12.6" customHeight="1" x14ac:dyDescent="0.3"/>
    <row r="566" ht="12.6" customHeight="1" x14ac:dyDescent="0.3"/>
    <row r="567" ht="12.6" customHeight="1" x14ac:dyDescent="0.3"/>
    <row r="568" ht="12.6" customHeight="1" x14ac:dyDescent="0.3"/>
    <row r="569" ht="12.6" customHeight="1" x14ac:dyDescent="0.3"/>
    <row r="570" ht="12.6" customHeight="1" x14ac:dyDescent="0.3"/>
    <row r="571" ht="12.6" customHeight="1" x14ac:dyDescent="0.3"/>
    <row r="572" ht="12.6" customHeight="1" x14ac:dyDescent="0.3"/>
    <row r="573" ht="12.6" customHeight="1" x14ac:dyDescent="0.3"/>
    <row r="574" ht="12.6" customHeight="1" x14ac:dyDescent="0.3"/>
    <row r="575" ht="12.6" customHeight="1" x14ac:dyDescent="0.3"/>
    <row r="576" ht="12.6" customHeight="1" x14ac:dyDescent="0.3"/>
    <row r="577" ht="12.6" customHeight="1" x14ac:dyDescent="0.3"/>
    <row r="578" ht="12.6" customHeight="1" x14ac:dyDescent="0.3"/>
    <row r="579" ht="12.6" customHeight="1" x14ac:dyDescent="0.3"/>
    <row r="580" ht="12.6" customHeight="1" x14ac:dyDescent="0.3"/>
    <row r="581" ht="12.6" customHeight="1" x14ac:dyDescent="0.3"/>
    <row r="582" ht="12.6" customHeight="1" x14ac:dyDescent="0.3"/>
    <row r="583" ht="12.6" customHeight="1" x14ac:dyDescent="0.3"/>
    <row r="584" ht="12.6" customHeight="1" x14ac:dyDescent="0.3"/>
    <row r="585" ht="12.6" customHeight="1" x14ac:dyDescent="0.3"/>
    <row r="586" ht="12.6" customHeight="1" x14ac:dyDescent="0.3"/>
    <row r="587" ht="12.6" customHeight="1" x14ac:dyDescent="0.3"/>
    <row r="588" ht="12.6" customHeight="1" x14ac:dyDescent="0.3"/>
    <row r="589" ht="12.6" customHeight="1" x14ac:dyDescent="0.3"/>
    <row r="590" ht="12.6" customHeight="1" x14ac:dyDescent="0.3"/>
    <row r="591" ht="12.6" customHeight="1" x14ac:dyDescent="0.3"/>
    <row r="592" ht="12.6" customHeight="1" x14ac:dyDescent="0.3"/>
    <row r="593" ht="12.6" customHeight="1" x14ac:dyDescent="0.3"/>
    <row r="594" ht="12.6" customHeight="1" x14ac:dyDescent="0.3"/>
    <row r="595" ht="12.6" customHeight="1" x14ac:dyDescent="0.3"/>
    <row r="596" ht="12.6" customHeight="1" x14ac:dyDescent="0.3"/>
    <row r="597" ht="12.6" customHeight="1" x14ac:dyDescent="0.3"/>
    <row r="598" ht="12.6" customHeight="1" x14ac:dyDescent="0.3"/>
    <row r="599" ht="12.6" customHeight="1" x14ac:dyDescent="0.3"/>
    <row r="600" ht="12.6" customHeight="1" x14ac:dyDescent="0.3"/>
    <row r="601" ht="12.6" customHeight="1" x14ac:dyDescent="0.3"/>
    <row r="602" ht="12.6" customHeight="1" x14ac:dyDescent="0.3"/>
    <row r="603" ht="12.6" customHeight="1" x14ac:dyDescent="0.3"/>
    <row r="604" ht="12.6" customHeight="1" x14ac:dyDescent="0.3"/>
    <row r="605" ht="12.6" customHeight="1" x14ac:dyDescent="0.3"/>
    <row r="606" ht="12.6" customHeight="1" x14ac:dyDescent="0.3"/>
    <row r="607" ht="12.6" customHeight="1" x14ac:dyDescent="0.3"/>
    <row r="608" ht="12.6" customHeight="1" x14ac:dyDescent="0.3"/>
    <row r="609" ht="12.6" customHeight="1" x14ac:dyDescent="0.3"/>
    <row r="610" ht="12.6" customHeight="1" x14ac:dyDescent="0.3"/>
    <row r="611" ht="12.6" customHeight="1" x14ac:dyDescent="0.3"/>
    <row r="612" ht="12.6" customHeight="1" x14ac:dyDescent="0.3"/>
    <row r="613" ht="12.6" customHeight="1" x14ac:dyDescent="0.3"/>
    <row r="614" ht="12.6" customHeight="1" x14ac:dyDescent="0.3"/>
    <row r="615" ht="12.6" customHeight="1" x14ac:dyDescent="0.3"/>
    <row r="616" ht="12.6" customHeight="1" x14ac:dyDescent="0.3"/>
    <row r="617" ht="12.6" customHeight="1" x14ac:dyDescent="0.3"/>
    <row r="618" ht="12.6" customHeight="1" x14ac:dyDescent="0.3"/>
    <row r="619" ht="12.6" customHeight="1" x14ac:dyDescent="0.3"/>
    <row r="620" ht="12.6" customHeight="1" x14ac:dyDescent="0.3"/>
    <row r="621" ht="12.6" customHeight="1" x14ac:dyDescent="0.3"/>
    <row r="622" ht="12.6" customHeight="1" x14ac:dyDescent="0.3"/>
    <row r="623" ht="12.6" customHeight="1" x14ac:dyDescent="0.3"/>
    <row r="624" ht="12.6" customHeight="1" x14ac:dyDescent="0.3"/>
    <row r="625" ht="12.6" customHeight="1" x14ac:dyDescent="0.3"/>
    <row r="626" ht="12.6" customHeight="1" x14ac:dyDescent="0.3"/>
    <row r="627" ht="12.6" customHeight="1" x14ac:dyDescent="0.3"/>
    <row r="628" ht="12.6" customHeight="1" x14ac:dyDescent="0.3"/>
    <row r="629" ht="12.6" customHeight="1" x14ac:dyDescent="0.3"/>
    <row r="630" ht="12.6" customHeight="1" x14ac:dyDescent="0.3"/>
    <row r="631" ht="12.6" customHeight="1" x14ac:dyDescent="0.3"/>
    <row r="632" ht="12.6" customHeight="1" x14ac:dyDescent="0.3"/>
    <row r="633" ht="12.6" customHeight="1" x14ac:dyDescent="0.3"/>
    <row r="634" ht="12.6" customHeight="1" x14ac:dyDescent="0.3"/>
    <row r="635" ht="12.6" customHeight="1" x14ac:dyDescent="0.3"/>
    <row r="636" ht="12.6" customHeight="1" x14ac:dyDescent="0.3"/>
    <row r="637" ht="12.6" customHeight="1" x14ac:dyDescent="0.3"/>
    <row r="638" ht="12.6" customHeight="1" x14ac:dyDescent="0.3"/>
    <row r="639" ht="12.6" customHeight="1" x14ac:dyDescent="0.3"/>
    <row r="640" ht="12.6" customHeight="1" x14ac:dyDescent="0.3"/>
    <row r="641" ht="12.6" customHeight="1" x14ac:dyDescent="0.3"/>
    <row r="642" ht="12.6" customHeight="1" x14ac:dyDescent="0.3"/>
    <row r="643" ht="12.6" customHeight="1" x14ac:dyDescent="0.3"/>
    <row r="644" ht="12.6" customHeight="1" x14ac:dyDescent="0.3"/>
    <row r="645" ht="12.6" customHeight="1" x14ac:dyDescent="0.3"/>
    <row r="646" ht="12.6" customHeight="1" x14ac:dyDescent="0.3"/>
    <row r="647" ht="12.6" customHeight="1" x14ac:dyDescent="0.3"/>
    <row r="648" ht="12.6" customHeight="1" x14ac:dyDescent="0.3"/>
    <row r="649" ht="12.6" customHeight="1" x14ac:dyDescent="0.3"/>
    <row r="650" ht="12.6" customHeight="1" x14ac:dyDescent="0.3"/>
    <row r="651" ht="12.6" customHeight="1" x14ac:dyDescent="0.3"/>
    <row r="652" ht="12.6" customHeight="1" x14ac:dyDescent="0.3"/>
    <row r="653" ht="12.6" customHeight="1" x14ac:dyDescent="0.3"/>
    <row r="654" ht="12.6" customHeight="1" x14ac:dyDescent="0.3"/>
    <row r="655" ht="12.6" customHeight="1" x14ac:dyDescent="0.3"/>
    <row r="656" ht="12.6" customHeight="1" x14ac:dyDescent="0.3"/>
    <row r="657" ht="12.6" customHeight="1" x14ac:dyDescent="0.3"/>
    <row r="658" ht="12.6" customHeight="1" x14ac:dyDescent="0.3"/>
    <row r="659" ht="12.6" customHeight="1" x14ac:dyDescent="0.3"/>
    <row r="660" ht="12.6" customHeight="1" x14ac:dyDescent="0.3"/>
    <row r="661" ht="12.6" customHeight="1" x14ac:dyDescent="0.3"/>
    <row r="662" ht="12.6" customHeight="1" x14ac:dyDescent="0.3"/>
    <row r="663" ht="12.6" customHeight="1" x14ac:dyDescent="0.3"/>
    <row r="664" ht="12.6" customHeight="1" x14ac:dyDescent="0.3"/>
    <row r="665" ht="12.6" customHeight="1" x14ac:dyDescent="0.3"/>
    <row r="666" ht="12.6" customHeight="1" x14ac:dyDescent="0.3"/>
    <row r="667" ht="12.6" customHeight="1" x14ac:dyDescent="0.3"/>
    <row r="668" ht="12.6" customHeight="1" x14ac:dyDescent="0.3"/>
    <row r="669" ht="12.6" customHeight="1" x14ac:dyDescent="0.3"/>
    <row r="670" ht="12.6" customHeight="1" x14ac:dyDescent="0.3"/>
    <row r="671" ht="12.6" customHeight="1" x14ac:dyDescent="0.3"/>
    <row r="672" ht="12.6" customHeight="1" x14ac:dyDescent="0.3"/>
    <row r="673" ht="12.6" customHeight="1" x14ac:dyDescent="0.3"/>
    <row r="674" ht="12.6" customHeight="1" x14ac:dyDescent="0.3"/>
    <row r="675" ht="12.6" customHeight="1" x14ac:dyDescent="0.3"/>
    <row r="676" ht="12.6" customHeight="1" x14ac:dyDescent="0.3"/>
    <row r="677" ht="12.6" customHeight="1" x14ac:dyDescent="0.3"/>
    <row r="678" ht="12.6" customHeight="1" x14ac:dyDescent="0.3"/>
    <row r="679" ht="12.6" customHeight="1" x14ac:dyDescent="0.3"/>
    <row r="680" ht="12.6" customHeight="1" x14ac:dyDescent="0.3"/>
    <row r="681" ht="12.6" customHeight="1" x14ac:dyDescent="0.3"/>
    <row r="682" ht="12.6" customHeight="1" x14ac:dyDescent="0.3"/>
    <row r="683" ht="12.6" customHeight="1" x14ac:dyDescent="0.3"/>
    <row r="684" ht="12.6" customHeight="1" x14ac:dyDescent="0.3"/>
    <row r="685" ht="12.6" customHeight="1" x14ac:dyDescent="0.3"/>
    <row r="686" ht="12.6" customHeight="1" x14ac:dyDescent="0.3"/>
    <row r="687" ht="12.6" customHeight="1" x14ac:dyDescent="0.3"/>
    <row r="688" ht="12.6" customHeight="1" x14ac:dyDescent="0.3"/>
    <row r="689" ht="12.6" customHeight="1" x14ac:dyDescent="0.3"/>
    <row r="690" ht="12.6" customHeight="1" x14ac:dyDescent="0.3"/>
    <row r="691" ht="12.6" customHeight="1" x14ac:dyDescent="0.3"/>
    <row r="692" ht="12.6" customHeight="1" x14ac:dyDescent="0.3"/>
    <row r="693" ht="12.6" customHeight="1" x14ac:dyDescent="0.3"/>
    <row r="694" ht="12.6" customHeight="1" x14ac:dyDescent="0.3"/>
    <row r="695" ht="12.6" customHeight="1" x14ac:dyDescent="0.3"/>
    <row r="696" ht="12.6" customHeight="1" x14ac:dyDescent="0.3"/>
    <row r="697" ht="12.6" customHeight="1" x14ac:dyDescent="0.3"/>
    <row r="698" ht="12.6" customHeight="1" x14ac:dyDescent="0.3"/>
    <row r="699" ht="12.6" customHeight="1" x14ac:dyDescent="0.3"/>
    <row r="700" ht="12.6" customHeight="1" x14ac:dyDescent="0.3"/>
    <row r="701" ht="12.6" customHeight="1" x14ac:dyDescent="0.3"/>
    <row r="702" ht="12.6" customHeight="1" x14ac:dyDescent="0.3"/>
    <row r="703" ht="12.6" customHeight="1" x14ac:dyDescent="0.3"/>
    <row r="704" ht="12.6" customHeight="1" x14ac:dyDescent="0.3"/>
    <row r="705" ht="12.6" customHeight="1" x14ac:dyDescent="0.3"/>
    <row r="706" ht="12.6" customHeight="1" x14ac:dyDescent="0.3"/>
    <row r="707" ht="12.6" customHeight="1" x14ac:dyDescent="0.3"/>
    <row r="708" ht="12.6" customHeight="1" x14ac:dyDescent="0.3"/>
    <row r="709" ht="12.6" customHeight="1" x14ac:dyDescent="0.3"/>
    <row r="710" ht="12.6" customHeight="1" x14ac:dyDescent="0.3"/>
    <row r="711" ht="12.6" customHeight="1" x14ac:dyDescent="0.3"/>
    <row r="712" ht="12.6" customHeight="1" x14ac:dyDescent="0.3"/>
    <row r="713" ht="12.6" customHeight="1" x14ac:dyDescent="0.3"/>
    <row r="714" ht="12.6" customHeight="1" x14ac:dyDescent="0.3"/>
    <row r="715" ht="12.6" customHeight="1" x14ac:dyDescent="0.3"/>
    <row r="716" ht="12.6" customHeight="1" x14ac:dyDescent="0.3"/>
    <row r="717" ht="12.6" customHeight="1" x14ac:dyDescent="0.3"/>
    <row r="718" ht="12.6" customHeight="1" x14ac:dyDescent="0.3"/>
    <row r="719" ht="12.6" customHeight="1" x14ac:dyDescent="0.3"/>
    <row r="720" ht="12.6" customHeight="1" x14ac:dyDescent="0.3"/>
    <row r="721" ht="12.6" customHeight="1" x14ac:dyDescent="0.3"/>
    <row r="722" ht="12.6" customHeight="1" x14ac:dyDescent="0.3"/>
    <row r="723" ht="12.6" customHeight="1" x14ac:dyDescent="0.3"/>
    <row r="724" ht="12.6" customHeight="1" x14ac:dyDescent="0.3"/>
    <row r="725" ht="12.6" customHeight="1" x14ac:dyDescent="0.3"/>
    <row r="726" ht="12.6" customHeight="1" x14ac:dyDescent="0.3"/>
    <row r="727" ht="12.6" customHeight="1" x14ac:dyDescent="0.3"/>
    <row r="728" ht="12.6" customHeight="1" x14ac:dyDescent="0.3"/>
    <row r="729" ht="12.6" customHeight="1" x14ac:dyDescent="0.3"/>
    <row r="730" ht="12.6" customHeight="1" x14ac:dyDescent="0.3"/>
    <row r="731" ht="12.6" customHeight="1" x14ac:dyDescent="0.3"/>
    <row r="732" ht="12.6" customHeight="1" x14ac:dyDescent="0.3"/>
    <row r="733" ht="12.6" customHeight="1" x14ac:dyDescent="0.3"/>
    <row r="734" ht="12.6" customHeight="1" x14ac:dyDescent="0.3"/>
    <row r="735" ht="12.6" customHeight="1" x14ac:dyDescent="0.3"/>
    <row r="736" ht="12.6" customHeight="1" x14ac:dyDescent="0.3"/>
    <row r="737" ht="12.6" customHeight="1" x14ac:dyDescent="0.3"/>
    <row r="738" ht="12.6" customHeight="1" x14ac:dyDescent="0.3"/>
    <row r="739" ht="12.6" customHeight="1" x14ac:dyDescent="0.3"/>
    <row r="740" ht="12.6" customHeight="1" x14ac:dyDescent="0.3"/>
    <row r="741" ht="12.6" customHeight="1" x14ac:dyDescent="0.3"/>
    <row r="742" ht="12.6" customHeight="1" x14ac:dyDescent="0.3"/>
    <row r="743" ht="12.6" customHeight="1" x14ac:dyDescent="0.3"/>
    <row r="744" ht="12.6" customHeight="1" x14ac:dyDescent="0.3"/>
    <row r="745" ht="12.6" customHeight="1" x14ac:dyDescent="0.3"/>
    <row r="746" ht="12.6" customHeight="1" x14ac:dyDescent="0.3"/>
    <row r="747" ht="12.6" customHeight="1" x14ac:dyDescent="0.3"/>
    <row r="748" ht="12.6" customHeight="1" x14ac:dyDescent="0.3"/>
    <row r="749" ht="12.6" customHeight="1" x14ac:dyDescent="0.3"/>
    <row r="750" ht="12.6" customHeight="1" x14ac:dyDescent="0.3"/>
    <row r="751" ht="12.6" customHeight="1" x14ac:dyDescent="0.3"/>
    <row r="752" ht="12.6" customHeight="1" x14ac:dyDescent="0.3"/>
    <row r="753" ht="12.6" customHeight="1" x14ac:dyDescent="0.3"/>
    <row r="754" ht="12.6" customHeight="1" x14ac:dyDescent="0.3"/>
    <row r="755" ht="12.6" customHeight="1" x14ac:dyDescent="0.3"/>
    <row r="756" ht="12.6" customHeight="1" x14ac:dyDescent="0.3"/>
    <row r="757" ht="12.6" customHeight="1" x14ac:dyDescent="0.3"/>
    <row r="758" ht="12.6" customHeight="1" x14ac:dyDescent="0.3"/>
    <row r="759" ht="12.6" customHeight="1" x14ac:dyDescent="0.3"/>
    <row r="760" ht="12.6" customHeight="1" x14ac:dyDescent="0.3"/>
    <row r="761" ht="12.6" customHeight="1" x14ac:dyDescent="0.3"/>
    <row r="762" ht="12.6" customHeight="1" x14ac:dyDescent="0.3"/>
    <row r="763" ht="12.6" customHeight="1" x14ac:dyDescent="0.3"/>
    <row r="764" ht="12.6" customHeight="1" x14ac:dyDescent="0.3"/>
    <row r="765" ht="12.6" customHeight="1" x14ac:dyDescent="0.3"/>
    <row r="766" ht="12.6" customHeight="1" x14ac:dyDescent="0.3"/>
    <row r="767" ht="12.6" customHeight="1" x14ac:dyDescent="0.3"/>
    <row r="768" ht="12.6" customHeight="1" x14ac:dyDescent="0.3"/>
    <row r="769" ht="12.6" customHeight="1" x14ac:dyDescent="0.3"/>
    <row r="770" ht="12.6" customHeight="1" x14ac:dyDescent="0.3"/>
    <row r="771" ht="12.6" customHeight="1" x14ac:dyDescent="0.3"/>
    <row r="772" ht="12.6" customHeight="1" x14ac:dyDescent="0.3"/>
    <row r="773" ht="12.6" customHeight="1" x14ac:dyDescent="0.3"/>
    <row r="774" ht="12.6" customHeight="1" x14ac:dyDescent="0.3"/>
    <row r="775" ht="12.6" customHeight="1" x14ac:dyDescent="0.3"/>
    <row r="776" ht="12.6" customHeight="1" x14ac:dyDescent="0.3"/>
    <row r="777" ht="12.6" customHeight="1" x14ac:dyDescent="0.3"/>
    <row r="778" ht="12.6" customHeight="1" x14ac:dyDescent="0.3"/>
    <row r="779" ht="12.6" customHeight="1" x14ac:dyDescent="0.3"/>
    <row r="780" ht="12.6" customHeight="1" x14ac:dyDescent="0.3"/>
    <row r="781" ht="12.6" customHeight="1" x14ac:dyDescent="0.3"/>
    <row r="782" ht="12.6" customHeight="1" x14ac:dyDescent="0.3"/>
    <row r="783" ht="12.6" customHeight="1" x14ac:dyDescent="0.3"/>
    <row r="784" ht="12.6" customHeight="1" x14ac:dyDescent="0.3"/>
    <row r="785" ht="12.6" customHeight="1" x14ac:dyDescent="0.3"/>
    <row r="786" ht="12.6" customHeight="1" x14ac:dyDescent="0.3"/>
    <row r="787" ht="12.6" customHeight="1" x14ac:dyDescent="0.3"/>
    <row r="788" ht="12.6" customHeight="1" x14ac:dyDescent="0.3"/>
    <row r="789" ht="12.6" customHeight="1" x14ac:dyDescent="0.3"/>
    <row r="790" ht="12.6" customHeight="1" x14ac:dyDescent="0.3"/>
    <row r="791" ht="12.6" customHeight="1" x14ac:dyDescent="0.3"/>
    <row r="792" ht="12.6" customHeight="1" x14ac:dyDescent="0.3"/>
    <row r="793" ht="12.6" customHeight="1" x14ac:dyDescent="0.3"/>
    <row r="794" ht="12.6" customHeight="1" x14ac:dyDescent="0.3"/>
    <row r="795" ht="12.6" customHeight="1" x14ac:dyDescent="0.3"/>
    <row r="796" ht="12.6" customHeight="1" x14ac:dyDescent="0.3"/>
    <row r="797" ht="12.6" customHeight="1" x14ac:dyDescent="0.3"/>
    <row r="798" ht="12.6" customHeight="1" x14ac:dyDescent="0.3"/>
    <row r="799" ht="12.6" customHeight="1" x14ac:dyDescent="0.3"/>
    <row r="800" ht="12.6" customHeight="1" x14ac:dyDescent="0.3"/>
    <row r="801" ht="12.6" customHeight="1" x14ac:dyDescent="0.3"/>
    <row r="802" ht="12.6" customHeight="1" x14ac:dyDescent="0.3"/>
    <row r="803" ht="12.6" customHeight="1" x14ac:dyDescent="0.3"/>
    <row r="804" ht="12.6" customHeight="1" x14ac:dyDescent="0.3"/>
    <row r="805" ht="12.6" customHeight="1" x14ac:dyDescent="0.3"/>
    <row r="806" ht="12.6" customHeight="1" x14ac:dyDescent="0.3"/>
    <row r="807" ht="12.6" customHeight="1" x14ac:dyDescent="0.3"/>
    <row r="808" ht="12.6" customHeight="1" x14ac:dyDescent="0.3"/>
    <row r="809" ht="12.6" customHeight="1" x14ac:dyDescent="0.3"/>
    <row r="810" ht="12.6" customHeight="1" x14ac:dyDescent="0.3"/>
    <row r="811" ht="12.6" customHeight="1" x14ac:dyDescent="0.3"/>
    <row r="812" ht="12.6" customHeight="1" x14ac:dyDescent="0.3"/>
    <row r="813" ht="12.6" customHeight="1" x14ac:dyDescent="0.3"/>
    <row r="814" ht="12.6" customHeight="1" x14ac:dyDescent="0.3"/>
    <row r="815" ht="12.6" customHeight="1" x14ac:dyDescent="0.3"/>
    <row r="816" ht="12.6" customHeight="1" x14ac:dyDescent="0.3"/>
    <row r="817" ht="12.6" customHeight="1" x14ac:dyDescent="0.3"/>
    <row r="818" ht="12.6" customHeight="1" x14ac:dyDescent="0.3"/>
    <row r="819" ht="12.6" customHeight="1" x14ac:dyDescent="0.3"/>
    <row r="820" ht="12.6" customHeight="1" x14ac:dyDescent="0.3"/>
    <row r="821" ht="12.6" customHeight="1" x14ac:dyDescent="0.3"/>
    <row r="822" ht="12.6" customHeight="1" x14ac:dyDescent="0.3"/>
    <row r="823" ht="12.6" customHeight="1" x14ac:dyDescent="0.3"/>
    <row r="824" ht="12.6" customHeight="1" x14ac:dyDescent="0.3"/>
    <row r="825" ht="12.6" customHeight="1" x14ac:dyDescent="0.3"/>
    <row r="826" ht="12.6" customHeight="1" x14ac:dyDescent="0.3"/>
    <row r="827" ht="12.6" customHeight="1" x14ac:dyDescent="0.3"/>
    <row r="828" ht="12.6" customHeight="1" x14ac:dyDescent="0.3"/>
    <row r="829" ht="12.6" customHeight="1" x14ac:dyDescent="0.3"/>
    <row r="830" ht="12.6" customHeight="1" x14ac:dyDescent="0.3"/>
    <row r="831" ht="12.6" customHeight="1" x14ac:dyDescent="0.3"/>
    <row r="832" ht="12.6" customHeight="1" x14ac:dyDescent="0.3"/>
    <row r="833" ht="12.6" customHeight="1" x14ac:dyDescent="0.3"/>
    <row r="834" ht="12.6" customHeight="1" x14ac:dyDescent="0.3"/>
    <row r="835" ht="12.6" customHeight="1" x14ac:dyDescent="0.3"/>
    <row r="836" ht="12.6" customHeight="1" x14ac:dyDescent="0.3"/>
    <row r="837" ht="12.6" customHeight="1" x14ac:dyDescent="0.3"/>
    <row r="838" ht="12.6" customHeight="1" x14ac:dyDescent="0.3"/>
    <row r="839" ht="12.6" customHeight="1" x14ac:dyDescent="0.3"/>
    <row r="840" ht="12.6" customHeight="1" x14ac:dyDescent="0.3"/>
    <row r="841" ht="12.6" customHeight="1" x14ac:dyDescent="0.3"/>
    <row r="842" ht="12.6" customHeight="1" x14ac:dyDescent="0.3"/>
    <row r="843" ht="12.6" customHeight="1" x14ac:dyDescent="0.3"/>
    <row r="844" ht="12.6" customHeight="1" x14ac:dyDescent="0.3"/>
    <row r="845" ht="12.6" customHeight="1" x14ac:dyDescent="0.3"/>
    <row r="846" ht="12.6" customHeight="1" x14ac:dyDescent="0.3"/>
    <row r="847" ht="12.6" customHeight="1" x14ac:dyDescent="0.3"/>
    <row r="848" ht="12.6" customHeight="1" x14ac:dyDescent="0.3"/>
    <row r="849" ht="12.6" customHeight="1" x14ac:dyDescent="0.3"/>
    <row r="850" ht="12.6" customHeight="1" x14ac:dyDescent="0.3"/>
    <row r="851" ht="12.6" customHeight="1" x14ac:dyDescent="0.3"/>
    <row r="852" ht="12.6" customHeight="1" x14ac:dyDescent="0.3"/>
    <row r="853" ht="12.6" customHeight="1" x14ac:dyDescent="0.3"/>
    <row r="854" ht="12.6" customHeight="1" x14ac:dyDescent="0.3"/>
    <row r="855" ht="12.6" customHeight="1" x14ac:dyDescent="0.3"/>
    <row r="856" ht="12.6" customHeight="1" x14ac:dyDescent="0.3"/>
    <row r="857" ht="12.6" customHeight="1" x14ac:dyDescent="0.3"/>
    <row r="858" ht="12.6" customHeight="1" x14ac:dyDescent="0.3"/>
    <row r="859" ht="12.6" customHeight="1" x14ac:dyDescent="0.3"/>
    <row r="860" ht="12.6" customHeight="1" x14ac:dyDescent="0.3"/>
    <row r="861" ht="12.6" customHeight="1" x14ac:dyDescent="0.3"/>
    <row r="862" ht="12.6" customHeight="1" x14ac:dyDescent="0.3"/>
    <row r="863" ht="12.6" customHeight="1" x14ac:dyDescent="0.3"/>
    <row r="864" ht="12.6" customHeight="1" x14ac:dyDescent="0.3"/>
    <row r="865" ht="12.6" customHeight="1" x14ac:dyDescent="0.3"/>
    <row r="866" ht="12.6" customHeight="1" x14ac:dyDescent="0.3"/>
    <row r="867" ht="12.6" customHeight="1" x14ac:dyDescent="0.3"/>
    <row r="868" ht="12.6" customHeight="1" x14ac:dyDescent="0.3"/>
    <row r="869" ht="12.6" customHeight="1" x14ac:dyDescent="0.3"/>
    <row r="870" ht="12.6" customHeight="1" x14ac:dyDescent="0.3"/>
    <row r="871" ht="12.6" customHeight="1" x14ac:dyDescent="0.3"/>
    <row r="872" ht="12.6" customHeight="1" x14ac:dyDescent="0.3"/>
    <row r="873" ht="12.6" customHeight="1" x14ac:dyDescent="0.3"/>
    <row r="874" ht="12.6" customHeight="1" x14ac:dyDescent="0.3"/>
    <row r="875" ht="12.6" customHeight="1" x14ac:dyDescent="0.3"/>
    <row r="876" ht="12.6" customHeight="1" x14ac:dyDescent="0.3"/>
    <row r="877" ht="12.6" customHeight="1" x14ac:dyDescent="0.3"/>
    <row r="878" ht="12.6" customHeight="1" x14ac:dyDescent="0.3"/>
    <row r="879" ht="12.6" customHeight="1" x14ac:dyDescent="0.3"/>
    <row r="880" ht="12.6" customHeight="1" x14ac:dyDescent="0.3"/>
    <row r="881" ht="12.6" customHeight="1" x14ac:dyDescent="0.3"/>
    <row r="882" ht="12.6" customHeight="1" x14ac:dyDescent="0.3"/>
    <row r="883" ht="12.6" customHeight="1" x14ac:dyDescent="0.3"/>
    <row r="884" ht="12.6" customHeight="1" x14ac:dyDescent="0.3"/>
    <row r="885" ht="12.6" customHeight="1" x14ac:dyDescent="0.3"/>
    <row r="886" ht="12.6" customHeight="1" x14ac:dyDescent="0.3"/>
    <row r="887" ht="12.6" customHeight="1" x14ac:dyDescent="0.3"/>
    <row r="888" ht="12.6" customHeight="1" x14ac:dyDescent="0.3"/>
    <row r="889" ht="12.6" customHeight="1" x14ac:dyDescent="0.3"/>
    <row r="890" ht="12.6" customHeight="1" x14ac:dyDescent="0.3"/>
    <row r="891" ht="12.6" customHeight="1" x14ac:dyDescent="0.3"/>
    <row r="892" ht="12.6" customHeight="1" x14ac:dyDescent="0.3"/>
    <row r="893" ht="12.6" customHeight="1" x14ac:dyDescent="0.3"/>
    <row r="894" ht="12.6" customHeight="1" x14ac:dyDescent="0.3"/>
    <row r="895" ht="12.6" customHeight="1" x14ac:dyDescent="0.3"/>
    <row r="896" ht="12.6" customHeight="1" x14ac:dyDescent="0.3"/>
    <row r="897" ht="12.6" customHeight="1" x14ac:dyDescent="0.3"/>
    <row r="898" ht="12.6" customHeight="1" x14ac:dyDescent="0.3"/>
    <row r="899" ht="12.6" customHeight="1" x14ac:dyDescent="0.3"/>
    <row r="900" ht="12.6" customHeight="1" x14ac:dyDescent="0.3"/>
    <row r="901" ht="12.6" customHeight="1" x14ac:dyDescent="0.3"/>
    <row r="902" ht="12.6" customHeight="1" x14ac:dyDescent="0.3"/>
    <row r="903" ht="12.6" customHeight="1" x14ac:dyDescent="0.3"/>
    <row r="904" ht="12.6" customHeight="1" x14ac:dyDescent="0.3"/>
    <row r="905" ht="12.6" customHeight="1" x14ac:dyDescent="0.3"/>
    <row r="906" ht="12.6" customHeight="1" x14ac:dyDescent="0.3"/>
    <row r="907" ht="12.6" customHeight="1" x14ac:dyDescent="0.3"/>
    <row r="908" ht="12.6" customHeight="1" x14ac:dyDescent="0.3"/>
    <row r="909" ht="12.6" customHeight="1" x14ac:dyDescent="0.3"/>
    <row r="910" ht="12.6" customHeight="1" x14ac:dyDescent="0.3"/>
    <row r="911" ht="12.6" customHeight="1" x14ac:dyDescent="0.3"/>
    <row r="912" ht="12.6" customHeight="1" x14ac:dyDescent="0.3"/>
    <row r="913" ht="12.6" customHeight="1" x14ac:dyDescent="0.3"/>
    <row r="914" ht="12.6" customHeight="1" x14ac:dyDescent="0.3"/>
    <row r="915" ht="12.6" customHeight="1" x14ac:dyDescent="0.3"/>
    <row r="916" ht="12.6" customHeight="1" x14ac:dyDescent="0.3"/>
    <row r="917" ht="12.6" customHeight="1" x14ac:dyDescent="0.3"/>
    <row r="918" ht="12.6" customHeight="1" x14ac:dyDescent="0.3"/>
    <row r="919" ht="12.6" customHeight="1" x14ac:dyDescent="0.3"/>
    <row r="920" ht="12.6" customHeight="1" x14ac:dyDescent="0.3"/>
    <row r="921" ht="12.6" customHeight="1" x14ac:dyDescent="0.3"/>
    <row r="922" ht="12.6" customHeight="1" x14ac:dyDescent="0.3"/>
    <row r="923" ht="12.6" customHeight="1" x14ac:dyDescent="0.3"/>
    <row r="924" ht="12.6" customHeight="1" x14ac:dyDescent="0.3"/>
    <row r="925" ht="12.6" customHeight="1" x14ac:dyDescent="0.3"/>
    <row r="926" ht="12.6" customHeight="1" x14ac:dyDescent="0.3"/>
    <row r="927" ht="12.6" customHeight="1" x14ac:dyDescent="0.3"/>
    <row r="928" ht="12.6" customHeight="1" x14ac:dyDescent="0.3"/>
    <row r="929" ht="12.6" customHeight="1" x14ac:dyDescent="0.3"/>
    <row r="930" ht="12.6" customHeight="1" x14ac:dyDescent="0.3"/>
    <row r="931" ht="12.6" customHeight="1" x14ac:dyDescent="0.3"/>
    <row r="932" ht="12.6" customHeight="1" x14ac:dyDescent="0.3"/>
    <row r="933" ht="12.6" customHeight="1" x14ac:dyDescent="0.3"/>
    <row r="934" ht="12.6" customHeight="1" x14ac:dyDescent="0.3"/>
    <row r="935" ht="12.6" customHeight="1" x14ac:dyDescent="0.3"/>
    <row r="936" ht="12.6" customHeight="1" x14ac:dyDescent="0.3"/>
    <row r="937" ht="12.6" customHeight="1" x14ac:dyDescent="0.3"/>
    <row r="938" ht="12.6" customHeight="1" x14ac:dyDescent="0.3"/>
    <row r="939" ht="12.6" customHeight="1" x14ac:dyDescent="0.3"/>
    <row r="940" ht="12.6" customHeight="1" x14ac:dyDescent="0.3"/>
    <row r="941" ht="12.6" customHeight="1" x14ac:dyDescent="0.3"/>
    <row r="942" ht="12.6" customHeight="1" x14ac:dyDescent="0.3"/>
    <row r="943" ht="12.6" customHeight="1" x14ac:dyDescent="0.3"/>
    <row r="944" ht="12.6" customHeight="1" x14ac:dyDescent="0.3"/>
    <row r="945" ht="12.6" customHeight="1" x14ac:dyDescent="0.3"/>
    <row r="946" ht="12.6" customHeight="1" x14ac:dyDescent="0.3"/>
    <row r="947" ht="12.6" customHeight="1" x14ac:dyDescent="0.3"/>
    <row r="948" ht="12.6" customHeight="1" x14ac:dyDescent="0.3"/>
    <row r="949" ht="12.6" customHeight="1" x14ac:dyDescent="0.3"/>
    <row r="950" ht="12.6" customHeight="1" x14ac:dyDescent="0.3"/>
    <row r="951" ht="12.6" customHeight="1" x14ac:dyDescent="0.3"/>
    <row r="952" ht="12.6" customHeight="1" x14ac:dyDescent="0.3"/>
    <row r="953" ht="12.6" customHeight="1" x14ac:dyDescent="0.3"/>
    <row r="954" ht="12.6" customHeight="1" x14ac:dyDescent="0.3"/>
    <row r="955" ht="12.6" customHeight="1" x14ac:dyDescent="0.3"/>
    <row r="956" ht="12.6" customHeight="1" x14ac:dyDescent="0.3"/>
    <row r="957" ht="12.6" customHeight="1" x14ac:dyDescent="0.3"/>
    <row r="958" ht="12.6" customHeight="1" x14ac:dyDescent="0.3"/>
    <row r="959" ht="12.6" customHeight="1" x14ac:dyDescent="0.3"/>
    <row r="960" ht="12.6" customHeight="1" x14ac:dyDescent="0.3"/>
    <row r="961" ht="12.6" customHeight="1" x14ac:dyDescent="0.3"/>
    <row r="962" ht="12.6" customHeight="1" x14ac:dyDescent="0.3"/>
    <row r="963" ht="12.6" customHeight="1" x14ac:dyDescent="0.3"/>
    <row r="964" ht="12.6" customHeight="1" x14ac:dyDescent="0.3"/>
    <row r="965" ht="12.6" customHeight="1" x14ac:dyDescent="0.3"/>
    <row r="966" ht="12.6" customHeight="1" x14ac:dyDescent="0.3"/>
    <row r="967" ht="12.6" customHeight="1" x14ac:dyDescent="0.3"/>
    <row r="968" ht="12.6" customHeight="1" x14ac:dyDescent="0.3"/>
    <row r="969" ht="12.6" customHeight="1" x14ac:dyDescent="0.3"/>
    <row r="970" ht="12.6" customHeight="1" x14ac:dyDescent="0.3"/>
    <row r="971" ht="12.6" customHeight="1" x14ac:dyDescent="0.3"/>
    <row r="972" ht="12.6" customHeight="1" x14ac:dyDescent="0.3"/>
    <row r="973" ht="12.6" customHeight="1" x14ac:dyDescent="0.3"/>
    <row r="974" ht="12.6" customHeight="1" x14ac:dyDescent="0.3"/>
    <row r="975" ht="12.6" customHeight="1" x14ac:dyDescent="0.3"/>
    <row r="976" ht="12.6" customHeight="1" x14ac:dyDescent="0.3"/>
    <row r="977" ht="12.6" customHeight="1" x14ac:dyDescent="0.3"/>
    <row r="978" ht="12.6" customHeight="1" x14ac:dyDescent="0.3"/>
    <row r="979" ht="12.6" customHeight="1" x14ac:dyDescent="0.3"/>
    <row r="980" ht="12.6" customHeight="1" x14ac:dyDescent="0.3"/>
    <row r="981" ht="12.6" customHeight="1" x14ac:dyDescent="0.3"/>
    <row r="982" ht="12.6" customHeight="1" x14ac:dyDescent="0.3"/>
    <row r="983" ht="12.6" customHeight="1" x14ac:dyDescent="0.3"/>
    <row r="984" ht="12.6" customHeight="1" x14ac:dyDescent="0.3"/>
    <row r="985" ht="12.6" customHeight="1" x14ac:dyDescent="0.3"/>
    <row r="986" ht="12.6" customHeight="1" x14ac:dyDescent="0.3"/>
    <row r="987" ht="12.6" customHeight="1" x14ac:dyDescent="0.3"/>
    <row r="988" ht="12.6" customHeight="1" x14ac:dyDescent="0.3"/>
    <row r="989" ht="12.6" customHeight="1" x14ac:dyDescent="0.3"/>
    <row r="990" ht="12.6" customHeight="1" x14ac:dyDescent="0.3"/>
    <row r="991" ht="12.6" customHeight="1" x14ac:dyDescent="0.3"/>
    <row r="992" ht="12.6" customHeight="1" x14ac:dyDescent="0.3"/>
    <row r="993" ht="12.6" customHeight="1" x14ac:dyDescent="0.3"/>
    <row r="994" ht="12.6" customHeight="1" x14ac:dyDescent="0.3"/>
    <row r="995" ht="12.6" customHeight="1" x14ac:dyDescent="0.3"/>
    <row r="996" ht="12.6" customHeight="1" x14ac:dyDescent="0.3"/>
    <row r="997" ht="12.6" customHeight="1" x14ac:dyDescent="0.3"/>
    <row r="998" ht="12.6" customHeight="1" x14ac:dyDescent="0.3"/>
    <row r="999" ht="12.6" customHeight="1" x14ac:dyDescent="0.3"/>
    <row r="1000" ht="12.6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defaultColWidth="14.44140625" defaultRowHeight="14.4" x14ac:dyDescent="0.3"/>
  <cols>
    <col min="1" max="1" width="72" customWidth="1"/>
    <col min="2" max="2" width="12" customWidth="1"/>
    <col min="3" max="3" width="50" customWidth="1"/>
    <col min="4" max="4" width="46" customWidth="1"/>
    <col min="5" max="8" width="15" customWidth="1"/>
    <col min="9" max="26" width="8.6640625" customWidth="1"/>
  </cols>
  <sheetData>
    <row r="1" spans="1:8" ht="19.2" customHeight="1" x14ac:dyDescent="0.3">
      <c r="A1" s="1" t="s">
        <v>208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209</v>
      </c>
    </row>
    <row r="4" spans="1:8" x14ac:dyDescent="0.3">
      <c r="A4" s="7" t="s">
        <v>210</v>
      </c>
      <c r="B4" s="10"/>
      <c r="C4" s="10"/>
      <c r="D4" s="10"/>
      <c r="E4" s="10"/>
      <c r="F4" s="10"/>
      <c r="G4" s="10"/>
      <c r="H4" s="10"/>
    </row>
    <row r="5" spans="1:8" x14ac:dyDescent="0.3">
      <c r="A5" s="6" t="s">
        <v>211</v>
      </c>
      <c r="B5" s="13">
        <v>0</v>
      </c>
    </row>
    <row r="6" spans="1:8" x14ac:dyDescent="0.3">
      <c r="A6" s="14" t="s">
        <v>212</v>
      </c>
      <c r="B6" s="13">
        <v>0</v>
      </c>
    </row>
    <row r="7" spans="1:8" x14ac:dyDescent="0.3">
      <c r="A7" s="6" t="s">
        <v>213</v>
      </c>
      <c r="B7" s="13">
        <v>0</v>
      </c>
    </row>
    <row r="8" spans="1:8" x14ac:dyDescent="0.3">
      <c r="A8" s="6" t="s">
        <v>214</v>
      </c>
      <c r="B8" s="13">
        <v>0</v>
      </c>
    </row>
    <row r="9" spans="1:8" x14ac:dyDescent="0.3">
      <c r="A9" s="6" t="s">
        <v>215</v>
      </c>
      <c r="B9" s="13">
        <v>1</v>
      </c>
    </row>
    <row r="10" spans="1:8" x14ac:dyDescent="0.3">
      <c r="A10" s="12" t="s">
        <v>216</v>
      </c>
      <c r="B10" s="18">
        <f>SUM(B5:B9)</f>
        <v>1</v>
      </c>
    </row>
    <row r="12" spans="1:8" x14ac:dyDescent="0.3">
      <c r="A12" s="7" t="s">
        <v>217</v>
      </c>
      <c r="B12" s="10"/>
      <c r="C12" s="10"/>
      <c r="D12" s="10"/>
      <c r="E12" s="10"/>
      <c r="F12" s="10"/>
      <c r="G12" s="10"/>
      <c r="H12" s="10"/>
    </row>
    <row r="13" spans="1:8" x14ac:dyDescent="0.3">
      <c r="A13" s="6" t="s">
        <v>218</v>
      </c>
      <c r="B13" s="13">
        <v>0</v>
      </c>
    </row>
    <row r="14" spans="1:8" x14ac:dyDescent="0.3">
      <c r="A14" s="6" t="s">
        <v>219</v>
      </c>
      <c r="B14" s="13">
        <v>0</v>
      </c>
    </row>
    <row r="15" spans="1:8" x14ac:dyDescent="0.3">
      <c r="A15" s="6" t="s">
        <v>220</v>
      </c>
      <c r="B15" s="13">
        <v>0</v>
      </c>
    </row>
    <row r="16" spans="1:8" x14ac:dyDescent="0.3">
      <c r="A16" s="6" t="s">
        <v>221</v>
      </c>
      <c r="B16" s="13">
        <v>0</v>
      </c>
    </row>
    <row r="17" spans="1:8" x14ac:dyDescent="0.3">
      <c r="A17" s="6" t="s">
        <v>222</v>
      </c>
      <c r="B17" s="13">
        <v>0</v>
      </c>
    </row>
    <row r="18" spans="1:8" x14ac:dyDescent="0.3">
      <c r="A18" s="12" t="s">
        <v>223</v>
      </c>
      <c r="B18" s="18">
        <f>SUM(B13:B17)</f>
        <v>0</v>
      </c>
    </row>
    <row r="20" spans="1:8" x14ac:dyDescent="0.3">
      <c r="A20" s="7" t="s">
        <v>224</v>
      </c>
      <c r="B20" s="10"/>
      <c r="C20" s="10"/>
      <c r="D20" s="10"/>
      <c r="E20" s="10"/>
      <c r="F20" s="10"/>
      <c r="G20" s="10"/>
      <c r="H20" s="10"/>
    </row>
    <row r="21" spans="1:8" ht="12.6" customHeight="1" x14ac:dyDescent="0.3">
      <c r="A21" s="12" t="s">
        <v>225</v>
      </c>
      <c r="B21" s="26" t="str">
        <f>IF(AND(B10&gt;=7,B18&gt;=7),"OUTCOME",IF(AND(B10&gt;=7,B18&lt;7),"USAGE",IF(AND(B10&lt;7,B18&gt;=7),"USAGE (an toàn)","SEAT hoặc HYBRID")))</f>
        <v>SEAT hoặc HYBRID</v>
      </c>
    </row>
    <row r="22" spans="1:8" ht="12.6" customHeight="1" x14ac:dyDescent="0.3">
      <c r="A22" s="3" t="s">
        <v>226</v>
      </c>
    </row>
    <row r="23" spans="1:8" ht="12.6" customHeight="1" x14ac:dyDescent="0.3"/>
    <row r="24" spans="1:8" ht="12.6" customHeight="1" x14ac:dyDescent="0.3">
      <c r="A24" s="7" t="s">
        <v>227</v>
      </c>
      <c r="B24" s="10"/>
      <c r="C24" s="10"/>
      <c r="D24" s="10"/>
      <c r="E24" s="10"/>
      <c r="F24" s="10"/>
      <c r="G24" s="10"/>
      <c r="H24" s="10"/>
    </row>
    <row r="25" spans="1:8" ht="12.6" customHeight="1" x14ac:dyDescent="0.3">
      <c r="A25" s="27" t="s">
        <v>228</v>
      </c>
      <c r="B25" s="27" t="s">
        <v>229</v>
      </c>
      <c r="C25" s="27" t="s">
        <v>230</v>
      </c>
      <c r="D25" s="27" t="s">
        <v>231</v>
      </c>
    </row>
    <row r="26" spans="1:8" ht="12.6" customHeight="1" x14ac:dyDescent="0.3">
      <c r="A26" s="5" t="s">
        <v>232</v>
      </c>
      <c r="B26" s="5" t="s">
        <v>233</v>
      </c>
      <c r="C26" s="5" t="s">
        <v>234</v>
      </c>
      <c r="D26" s="5" t="s">
        <v>235</v>
      </c>
    </row>
    <row r="27" spans="1:8" ht="12.6" customHeight="1" x14ac:dyDescent="0.3">
      <c r="A27" s="5" t="s">
        <v>236</v>
      </c>
      <c r="B27" s="5" t="s">
        <v>237</v>
      </c>
      <c r="C27" s="5" t="s">
        <v>238</v>
      </c>
      <c r="D27" s="5" t="s">
        <v>239</v>
      </c>
    </row>
    <row r="28" spans="1:8" ht="12.6" customHeight="1" x14ac:dyDescent="0.3"/>
    <row r="29" spans="1:8" ht="12.6" customHeight="1" x14ac:dyDescent="0.3">
      <c r="A29" s="7" t="s">
        <v>240</v>
      </c>
      <c r="B29" s="10"/>
      <c r="C29" s="10"/>
      <c r="D29" s="10"/>
      <c r="E29" s="10"/>
      <c r="F29" s="10"/>
      <c r="G29" s="10"/>
      <c r="H29" s="10"/>
    </row>
    <row r="30" spans="1:8" ht="12.6" customHeight="1" x14ac:dyDescent="0.3">
      <c r="A30" s="6" t="s">
        <v>241</v>
      </c>
      <c r="B30" s="5" t="s">
        <v>242</v>
      </c>
    </row>
    <row r="31" spans="1:8" ht="12.6" customHeight="1" x14ac:dyDescent="0.3">
      <c r="A31" s="6" t="s">
        <v>243</v>
      </c>
      <c r="B31" s="5" t="s">
        <v>244</v>
      </c>
    </row>
    <row r="32" spans="1:8" ht="12.6" customHeight="1" x14ac:dyDescent="0.3">
      <c r="A32" s="6" t="s">
        <v>245</v>
      </c>
      <c r="B32" s="5" t="s">
        <v>246</v>
      </c>
    </row>
    <row r="33" spans="1:2" ht="12.6" customHeight="1" x14ac:dyDescent="0.3">
      <c r="A33" s="6" t="s">
        <v>247</v>
      </c>
      <c r="B33" s="5" t="s">
        <v>248</v>
      </c>
    </row>
    <row r="34" spans="1:2" ht="12.6" customHeight="1" x14ac:dyDescent="0.3">
      <c r="A34" s="6" t="s">
        <v>249</v>
      </c>
      <c r="B34" s="5" t="s">
        <v>250</v>
      </c>
    </row>
    <row r="35" spans="1:2" ht="12.6" customHeight="1" x14ac:dyDescent="0.3"/>
    <row r="36" spans="1:2" ht="12.6" customHeight="1" x14ac:dyDescent="0.3"/>
    <row r="37" spans="1:2" ht="12.6" customHeight="1" x14ac:dyDescent="0.3"/>
    <row r="38" spans="1:2" ht="12.6" customHeight="1" x14ac:dyDescent="0.3"/>
    <row r="39" spans="1:2" ht="12.6" customHeight="1" x14ac:dyDescent="0.3"/>
    <row r="40" spans="1:2" ht="12.6" customHeight="1" x14ac:dyDescent="0.3"/>
    <row r="41" spans="1:2" ht="12.6" customHeight="1" x14ac:dyDescent="0.3"/>
    <row r="42" spans="1:2" ht="12.6" customHeight="1" x14ac:dyDescent="0.3"/>
    <row r="43" spans="1:2" ht="12.6" customHeight="1" x14ac:dyDescent="0.3"/>
    <row r="44" spans="1:2" ht="12.6" customHeight="1" x14ac:dyDescent="0.3"/>
    <row r="45" spans="1:2" ht="12.6" customHeight="1" x14ac:dyDescent="0.3"/>
    <row r="46" spans="1:2" ht="12.6" customHeight="1" x14ac:dyDescent="0.3"/>
    <row r="47" spans="1:2" ht="12.6" customHeight="1" x14ac:dyDescent="0.3"/>
    <row r="48" spans="1:2" ht="12.6" customHeight="1" x14ac:dyDescent="0.3"/>
    <row r="49" ht="12.6" customHeight="1" x14ac:dyDescent="0.3"/>
    <row r="50" ht="12.6" customHeight="1" x14ac:dyDescent="0.3"/>
    <row r="51" ht="12.6" customHeight="1" x14ac:dyDescent="0.3"/>
    <row r="52" ht="12.6" customHeight="1" x14ac:dyDescent="0.3"/>
    <row r="53" ht="12.6" customHeight="1" x14ac:dyDescent="0.3"/>
    <row r="54" ht="12.6" customHeight="1" x14ac:dyDescent="0.3"/>
    <row r="55" ht="12.6" customHeight="1" x14ac:dyDescent="0.3"/>
    <row r="56" ht="12.6" customHeight="1" x14ac:dyDescent="0.3"/>
    <row r="57" ht="12.6" customHeight="1" x14ac:dyDescent="0.3"/>
    <row r="58" ht="12.6" customHeight="1" x14ac:dyDescent="0.3"/>
    <row r="59" ht="12.6" customHeight="1" x14ac:dyDescent="0.3"/>
    <row r="60" ht="12.6" customHeight="1" x14ac:dyDescent="0.3"/>
    <row r="61" ht="12.6" customHeight="1" x14ac:dyDescent="0.3"/>
    <row r="62" ht="12.6" customHeight="1" x14ac:dyDescent="0.3"/>
    <row r="63" ht="12.6" customHeight="1" x14ac:dyDescent="0.3"/>
    <row r="64" ht="12.6" customHeight="1" x14ac:dyDescent="0.3"/>
    <row r="65" ht="12.6" customHeight="1" x14ac:dyDescent="0.3"/>
    <row r="66" ht="12.6" customHeight="1" x14ac:dyDescent="0.3"/>
    <row r="67" ht="12.6" customHeight="1" x14ac:dyDescent="0.3"/>
    <row r="68" ht="12.6" customHeight="1" x14ac:dyDescent="0.3"/>
    <row r="69" ht="12.6" customHeight="1" x14ac:dyDescent="0.3"/>
    <row r="70" ht="12.6" customHeight="1" x14ac:dyDescent="0.3"/>
    <row r="71" ht="12.6" customHeight="1" x14ac:dyDescent="0.3"/>
    <row r="72" ht="12.6" customHeight="1" x14ac:dyDescent="0.3"/>
    <row r="73" ht="12.6" customHeight="1" x14ac:dyDescent="0.3"/>
    <row r="74" ht="12.6" customHeight="1" x14ac:dyDescent="0.3"/>
    <row r="75" ht="12.6" customHeight="1" x14ac:dyDescent="0.3"/>
    <row r="76" ht="12.6" customHeight="1" x14ac:dyDescent="0.3"/>
    <row r="77" ht="12.6" customHeight="1" x14ac:dyDescent="0.3"/>
    <row r="78" ht="12.6" customHeight="1" x14ac:dyDescent="0.3"/>
    <row r="79" ht="12.6" customHeight="1" x14ac:dyDescent="0.3"/>
    <row r="80" ht="12.6" customHeight="1" x14ac:dyDescent="0.3"/>
    <row r="81" ht="12.6" customHeight="1" x14ac:dyDescent="0.3"/>
    <row r="82" ht="12.6" customHeight="1" x14ac:dyDescent="0.3"/>
    <row r="83" ht="12.6" customHeight="1" x14ac:dyDescent="0.3"/>
    <row r="84" ht="12.6" customHeight="1" x14ac:dyDescent="0.3"/>
    <row r="85" ht="12.6" customHeight="1" x14ac:dyDescent="0.3"/>
    <row r="86" ht="12.6" customHeight="1" x14ac:dyDescent="0.3"/>
    <row r="87" ht="12.6" customHeight="1" x14ac:dyDescent="0.3"/>
    <row r="88" ht="12.6" customHeight="1" x14ac:dyDescent="0.3"/>
    <row r="89" ht="12.6" customHeight="1" x14ac:dyDescent="0.3"/>
    <row r="90" ht="12.6" customHeight="1" x14ac:dyDescent="0.3"/>
    <row r="91" ht="12.6" customHeight="1" x14ac:dyDescent="0.3"/>
    <row r="92" ht="12.6" customHeight="1" x14ac:dyDescent="0.3"/>
    <row r="93" ht="12.6" customHeight="1" x14ac:dyDescent="0.3"/>
    <row r="94" ht="12.6" customHeight="1" x14ac:dyDescent="0.3"/>
    <row r="95" ht="12.6" customHeight="1" x14ac:dyDescent="0.3"/>
    <row r="96" ht="12.6" customHeight="1" x14ac:dyDescent="0.3"/>
    <row r="97" ht="12.6" customHeight="1" x14ac:dyDescent="0.3"/>
    <row r="98" ht="12.6" customHeight="1" x14ac:dyDescent="0.3"/>
    <row r="99" ht="12.6" customHeight="1" x14ac:dyDescent="0.3"/>
    <row r="100" ht="12.6" customHeight="1" x14ac:dyDescent="0.3"/>
    <row r="101" ht="12.6" customHeight="1" x14ac:dyDescent="0.3"/>
    <row r="102" ht="12.6" customHeight="1" x14ac:dyDescent="0.3"/>
    <row r="103" ht="12.6" customHeight="1" x14ac:dyDescent="0.3"/>
    <row r="104" ht="12.6" customHeight="1" x14ac:dyDescent="0.3"/>
    <row r="105" ht="12.6" customHeight="1" x14ac:dyDescent="0.3"/>
    <row r="106" ht="12.6" customHeight="1" x14ac:dyDescent="0.3"/>
    <row r="107" ht="12.6" customHeight="1" x14ac:dyDescent="0.3"/>
    <row r="108" ht="12.6" customHeight="1" x14ac:dyDescent="0.3"/>
    <row r="109" ht="12.6" customHeight="1" x14ac:dyDescent="0.3"/>
    <row r="110" ht="12.6" customHeight="1" x14ac:dyDescent="0.3"/>
    <row r="111" ht="12.6" customHeight="1" x14ac:dyDescent="0.3"/>
    <row r="112" ht="12.6" customHeight="1" x14ac:dyDescent="0.3"/>
    <row r="113" ht="12.6" customHeight="1" x14ac:dyDescent="0.3"/>
    <row r="114" ht="12.6" customHeight="1" x14ac:dyDescent="0.3"/>
    <row r="115" ht="12.6" customHeight="1" x14ac:dyDescent="0.3"/>
    <row r="116" ht="12.6" customHeight="1" x14ac:dyDescent="0.3"/>
    <row r="117" ht="12.6" customHeight="1" x14ac:dyDescent="0.3"/>
    <row r="118" ht="12.6" customHeight="1" x14ac:dyDescent="0.3"/>
    <row r="119" ht="12.6" customHeight="1" x14ac:dyDescent="0.3"/>
    <row r="120" ht="12.6" customHeight="1" x14ac:dyDescent="0.3"/>
    <row r="121" ht="12.6" customHeight="1" x14ac:dyDescent="0.3"/>
    <row r="122" ht="12.6" customHeight="1" x14ac:dyDescent="0.3"/>
    <row r="123" ht="12.6" customHeight="1" x14ac:dyDescent="0.3"/>
    <row r="124" ht="12.6" customHeight="1" x14ac:dyDescent="0.3"/>
    <row r="125" ht="12.6" customHeight="1" x14ac:dyDescent="0.3"/>
    <row r="126" ht="12.6" customHeight="1" x14ac:dyDescent="0.3"/>
    <row r="127" ht="12.6" customHeight="1" x14ac:dyDescent="0.3"/>
    <row r="128" ht="12.6" customHeight="1" x14ac:dyDescent="0.3"/>
    <row r="129" ht="12.6" customHeight="1" x14ac:dyDescent="0.3"/>
    <row r="130" ht="12.6" customHeight="1" x14ac:dyDescent="0.3"/>
    <row r="131" ht="12.6" customHeight="1" x14ac:dyDescent="0.3"/>
    <row r="132" ht="12.6" customHeight="1" x14ac:dyDescent="0.3"/>
    <row r="133" ht="12.6" customHeight="1" x14ac:dyDescent="0.3"/>
    <row r="134" ht="12.6" customHeight="1" x14ac:dyDescent="0.3"/>
    <row r="135" ht="12.6" customHeight="1" x14ac:dyDescent="0.3"/>
    <row r="136" ht="12.6" customHeight="1" x14ac:dyDescent="0.3"/>
    <row r="137" ht="12.6" customHeight="1" x14ac:dyDescent="0.3"/>
    <row r="138" ht="12.6" customHeight="1" x14ac:dyDescent="0.3"/>
    <row r="139" ht="12.6" customHeight="1" x14ac:dyDescent="0.3"/>
    <row r="140" ht="12.6" customHeight="1" x14ac:dyDescent="0.3"/>
    <row r="141" ht="12.6" customHeight="1" x14ac:dyDescent="0.3"/>
    <row r="142" ht="12.6" customHeight="1" x14ac:dyDescent="0.3"/>
    <row r="143" ht="12.6" customHeight="1" x14ac:dyDescent="0.3"/>
    <row r="144" ht="12.6" customHeight="1" x14ac:dyDescent="0.3"/>
    <row r="145" ht="12.6" customHeight="1" x14ac:dyDescent="0.3"/>
    <row r="146" ht="12.6" customHeight="1" x14ac:dyDescent="0.3"/>
    <row r="147" ht="12.6" customHeight="1" x14ac:dyDescent="0.3"/>
    <row r="148" ht="12.6" customHeight="1" x14ac:dyDescent="0.3"/>
    <row r="149" ht="12.6" customHeight="1" x14ac:dyDescent="0.3"/>
    <row r="150" ht="12.6" customHeight="1" x14ac:dyDescent="0.3"/>
    <row r="151" ht="12.6" customHeight="1" x14ac:dyDescent="0.3"/>
    <row r="152" ht="12.6" customHeight="1" x14ac:dyDescent="0.3"/>
    <row r="153" ht="12.6" customHeight="1" x14ac:dyDescent="0.3"/>
    <row r="154" ht="12.6" customHeight="1" x14ac:dyDescent="0.3"/>
    <row r="155" ht="12.6" customHeight="1" x14ac:dyDescent="0.3"/>
    <row r="156" ht="12.6" customHeight="1" x14ac:dyDescent="0.3"/>
    <row r="157" ht="12.6" customHeight="1" x14ac:dyDescent="0.3"/>
    <row r="158" ht="12.6" customHeight="1" x14ac:dyDescent="0.3"/>
    <row r="159" ht="12.6" customHeight="1" x14ac:dyDescent="0.3"/>
    <row r="160" ht="12.6" customHeight="1" x14ac:dyDescent="0.3"/>
    <row r="161" ht="12.6" customHeight="1" x14ac:dyDescent="0.3"/>
    <row r="162" ht="12.6" customHeight="1" x14ac:dyDescent="0.3"/>
    <row r="163" ht="12.6" customHeight="1" x14ac:dyDescent="0.3"/>
    <row r="164" ht="12.6" customHeight="1" x14ac:dyDescent="0.3"/>
    <row r="165" ht="12.6" customHeight="1" x14ac:dyDescent="0.3"/>
    <row r="166" ht="12.6" customHeight="1" x14ac:dyDescent="0.3"/>
    <row r="167" ht="12.6" customHeight="1" x14ac:dyDescent="0.3"/>
    <row r="168" ht="12.6" customHeight="1" x14ac:dyDescent="0.3"/>
    <row r="169" ht="12.6" customHeight="1" x14ac:dyDescent="0.3"/>
    <row r="170" ht="12.6" customHeight="1" x14ac:dyDescent="0.3"/>
    <row r="171" ht="12.6" customHeight="1" x14ac:dyDescent="0.3"/>
    <row r="172" ht="12.6" customHeight="1" x14ac:dyDescent="0.3"/>
    <row r="173" ht="12.6" customHeight="1" x14ac:dyDescent="0.3"/>
    <row r="174" ht="12.6" customHeight="1" x14ac:dyDescent="0.3"/>
    <row r="175" ht="12.6" customHeight="1" x14ac:dyDescent="0.3"/>
    <row r="176" ht="12.6" customHeight="1" x14ac:dyDescent="0.3"/>
    <row r="177" ht="12.6" customHeight="1" x14ac:dyDescent="0.3"/>
    <row r="178" ht="12.6" customHeight="1" x14ac:dyDescent="0.3"/>
    <row r="179" ht="12.6" customHeight="1" x14ac:dyDescent="0.3"/>
    <row r="180" ht="12.6" customHeight="1" x14ac:dyDescent="0.3"/>
    <row r="181" ht="12.6" customHeight="1" x14ac:dyDescent="0.3"/>
    <row r="182" ht="12.6" customHeight="1" x14ac:dyDescent="0.3"/>
    <row r="183" ht="12.6" customHeight="1" x14ac:dyDescent="0.3"/>
    <row r="184" ht="12.6" customHeight="1" x14ac:dyDescent="0.3"/>
    <row r="185" ht="12.6" customHeight="1" x14ac:dyDescent="0.3"/>
    <row r="186" ht="12.6" customHeight="1" x14ac:dyDescent="0.3"/>
    <row r="187" ht="12.6" customHeight="1" x14ac:dyDescent="0.3"/>
    <row r="188" ht="12.6" customHeight="1" x14ac:dyDescent="0.3"/>
    <row r="189" ht="12.6" customHeight="1" x14ac:dyDescent="0.3"/>
    <row r="190" ht="12.6" customHeight="1" x14ac:dyDescent="0.3"/>
    <row r="191" ht="12.6" customHeight="1" x14ac:dyDescent="0.3"/>
    <row r="192" ht="12.6" customHeight="1" x14ac:dyDescent="0.3"/>
    <row r="193" ht="12.6" customHeight="1" x14ac:dyDescent="0.3"/>
    <row r="194" ht="12.6" customHeight="1" x14ac:dyDescent="0.3"/>
    <row r="195" ht="12.6" customHeight="1" x14ac:dyDescent="0.3"/>
    <row r="196" ht="12.6" customHeight="1" x14ac:dyDescent="0.3"/>
    <row r="197" ht="12.6" customHeight="1" x14ac:dyDescent="0.3"/>
    <row r="198" ht="12.6" customHeight="1" x14ac:dyDescent="0.3"/>
    <row r="199" ht="12.6" customHeight="1" x14ac:dyDescent="0.3"/>
    <row r="200" ht="12.6" customHeight="1" x14ac:dyDescent="0.3"/>
    <row r="201" ht="12.6" customHeight="1" x14ac:dyDescent="0.3"/>
    <row r="202" ht="12.6" customHeight="1" x14ac:dyDescent="0.3"/>
    <row r="203" ht="12.6" customHeight="1" x14ac:dyDescent="0.3"/>
    <row r="204" ht="12.6" customHeight="1" x14ac:dyDescent="0.3"/>
    <row r="205" ht="12.6" customHeight="1" x14ac:dyDescent="0.3"/>
    <row r="206" ht="12.6" customHeight="1" x14ac:dyDescent="0.3"/>
    <row r="207" ht="12.6" customHeight="1" x14ac:dyDescent="0.3"/>
    <row r="208" ht="12.6" customHeight="1" x14ac:dyDescent="0.3"/>
    <row r="209" ht="12.6" customHeight="1" x14ac:dyDescent="0.3"/>
    <row r="210" ht="12.6" customHeight="1" x14ac:dyDescent="0.3"/>
    <row r="211" ht="12.6" customHeight="1" x14ac:dyDescent="0.3"/>
    <row r="212" ht="12.6" customHeight="1" x14ac:dyDescent="0.3"/>
    <row r="213" ht="12.6" customHeight="1" x14ac:dyDescent="0.3"/>
    <row r="214" ht="12.6" customHeight="1" x14ac:dyDescent="0.3"/>
    <row r="215" ht="12.6" customHeight="1" x14ac:dyDescent="0.3"/>
    <row r="216" ht="12.6" customHeight="1" x14ac:dyDescent="0.3"/>
    <row r="217" ht="12.6" customHeight="1" x14ac:dyDescent="0.3"/>
    <row r="218" ht="12.6" customHeight="1" x14ac:dyDescent="0.3"/>
    <row r="219" ht="12.6" customHeight="1" x14ac:dyDescent="0.3"/>
    <row r="220" ht="12.6" customHeight="1" x14ac:dyDescent="0.3"/>
    <row r="221" ht="12.6" customHeight="1" x14ac:dyDescent="0.3"/>
    <row r="222" ht="12.6" customHeight="1" x14ac:dyDescent="0.3"/>
    <row r="223" ht="12.6" customHeight="1" x14ac:dyDescent="0.3"/>
    <row r="224" ht="12.6" customHeight="1" x14ac:dyDescent="0.3"/>
    <row r="225" ht="12.6" customHeight="1" x14ac:dyDescent="0.3"/>
    <row r="226" ht="12.6" customHeight="1" x14ac:dyDescent="0.3"/>
    <row r="227" ht="12.6" customHeight="1" x14ac:dyDescent="0.3"/>
    <row r="228" ht="12.6" customHeight="1" x14ac:dyDescent="0.3"/>
    <row r="229" ht="12.6" customHeight="1" x14ac:dyDescent="0.3"/>
    <row r="230" ht="12.6" customHeight="1" x14ac:dyDescent="0.3"/>
    <row r="231" ht="12.6" customHeight="1" x14ac:dyDescent="0.3"/>
    <row r="232" ht="12.6" customHeight="1" x14ac:dyDescent="0.3"/>
    <row r="233" ht="12.6" customHeight="1" x14ac:dyDescent="0.3"/>
    <row r="234" ht="12.6" customHeight="1" x14ac:dyDescent="0.3"/>
    <row r="235" ht="12.6" customHeight="1" x14ac:dyDescent="0.3"/>
    <row r="236" ht="12.6" customHeight="1" x14ac:dyDescent="0.3"/>
    <row r="237" ht="12.6" customHeight="1" x14ac:dyDescent="0.3"/>
    <row r="238" ht="12.6" customHeight="1" x14ac:dyDescent="0.3"/>
    <row r="239" ht="12.6" customHeight="1" x14ac:dyDescent="0.3"/>
    <row r="240" ht="12.6" customHeight="1" x14ac:dyDescent="0.3"/>
    <row r="241" ht="12.6" customHeight="1" x14ac:dyDescent="0.3"/>
    <row r="242" ht="12.6" customHeight="1" x14ac:dyDescent="0.3"/>
    <row r="243" ht="12.6" customHeight="1" x14ac:dyDescent="0.3"/>
    <row r="244" ht="12.6" customHeight="1" x14ac:dyDescent="0.3"/>
    <row r="245" ht="12.6" customHeight="1" x14ac:dyDescent="0.3"/>
    <row r="246" ht="12.6" customHeight="1" x14ac:dyDescent="0.3"/>
    <row r="247" ht="12.6" customHeight="1" x14ac:dyDescent="0.3"/>
    <row r="248" ht="12.6" customHeight="1" x14ac:dyDescent="0.3"/>
    <row r="249" ht="12.6" customHeight="1" x14ac:dyDescent="0.3"/>
    <row r="250" ht="12.6" customHeight="1" x14ac:dyDescent="0.3"/>
    <row r="251" ht="12.6" customHeight="1" x14ac:dyDescent="0.3"/>
    <row r="252" ht="12.6" customHeight="1" x14ac:dyDescent="0.3"/>
    <row r="253" ht="12.6" customHeight="1" x14ac:dyDescent="0.3"/>
    <row r="254" ht="12.6" customHeight="1" x14ac:dyDescent="0.3"/>
    <row r="255" ht="12.6" customHeight="1" x14ac:dyDescent="0.3"/>
    <row r="256" ht="12.6" customHeight="1" x14ac:dyDescent="0.3"/>
    <row r="257" ht="12.6" customHeight="1" x14ac:dyDescent="0.3"/>
    <row r="258" ht="12.6" customHeight="1" x14ac:dyDescent="0.3"/>
    <row r="259" ht="12.6" customHeight="1" x14ac:dyDescent="0.3"/>
    <row r="260" ht="12.6" customHeight="1" x14ac:dyDescent="0.3"/>
    <row r="261" ht="12.6" customHeight="1" x14ac:dyDescent="0.3"/>
    <row r="262" ht="12.6" customHeight="1" x14ac:dyDescent="0.3"/>
    <row r="263" ht="12.6" customHeight="1" x14ac:dyDescent="0.3"/>
    <row r="264" ht="12.6" customHeight="1" x14ac:dyDescent="0.3"/>
    <row r="265" ht="12.6" customHeight="1" x14ac:dyDescent="0.3"/>
    <row r="266" ht="12.6" customHeight="1" x14ac:dyDescent="0.3"/>
    <row r="267" ht="12.6" customHeight="1" x14ac:dyDescent="0.3"/>
    <row r="268" ht="12.6" customHeight="1" x14ac:dyDescent="0.3"/>
    <row r="269" ht="12.6" customHeight="1" x14ac:dyDescent="0.3"/>
    <row r="270" ht="12.6" customHeight="1" x14ac:dyDescent="0.3"/>
    <row r="271" ht="12.6" customHeight="1" x14ac:dyDescent="0.3"/>
    <row r="272" ht="12.6" customHeight="1" x14ac:dyDescent="0.3"/>
    <row r="273" ht="12.6" customHeight="1" x14ac:dyDescent="0.3"/>
    <row r="274" ht="12.6" customHeight="1" x14ac:dyDescent="0.3"/>
    <row r="275" ht="12.6" customHeight="1" x14ac:dyDescent="0.3"/>
    <row r="276" ht="12.6" customHeight="1" x14ac:dyDescent="0.3"/>
    <row r="277" ht="12.6" customHeight="1" x14ac:dyDescent="0.3"/>
    <row r="278" ht="12.6" customHeight="1" x14ac:dyDescent="0.3"/>
    <row r="279" ht="12.6" customHeight="1" x14ac:dyDescent="0.3"/>
    <row r="280" ht="12.6" customHeight="1" x14ac:dyDescent="0.3"/>
    <row r="281" ht="12.6" customHeight="1" x14ac:dyDescent="0.3"/>
    <row r="282" ht="12.6" customHeight="1" x14ac:dyDescent="0.3"/>
    <row r="283" ht="12.6" customHeight="1" x14ac:dyDescent="0.3"/>
    <row r="284" ht="12.6" customHeight="1" x14ac:dyDescent="0.3"/>
    <row r="285" ht="12.6" customHeight="1" x14ac:dyDescent="0.3"/>
    <row r="286" ht="12.6" customHeight="1" x14ac:dyDescent="0.3"/>
    <row r="287" ht="12.6" customHeight="1" x14ac:dyDescent="0.3"/>
    <row r="288" ht="12.6" customHeight="1" x14ac:dyDescent="0.3"/>
    <row r="289" ht="12.6" customHeight="1" x14ac:dyDescent="0.3"/>
    <row r="290" ht="12.6" customHeight="1" x14ac:dyDescent="0.3"/>
    <row r="291" ht="12.6" customHeight="1" x14ac:dyDescent="0.3"/>
    <row r="292" ht="12.6" customHeight="1" x14ac:dyDescent="0.3"/>
    <row r="293" ht="12.6" customHeight="1" x14ac:dyDescent="0.3"/>
    <row r="294" ht="12.6" customHeight="1" x14ac:dyDescent="0.3"/>
    <row r="295" ht="12.6" customHeight="1" x14ac:dyDescent="0.3"/>
    <row r="296" ht="12.6" customHeight="1" x14ac:dyDescent="0.3"/>
    <row r="297" ht="12.6" customHeight="1" x14ac:dyDescent="0.3"/>
    <row r="298" ht="12.6" customHeight="1" x14ac:dyDescent="0.3"/>
    <row r="299" ht="12.6" customHeight="1" x14ac:dyDescent="0.3"/>
    <row r="300" ht="12.6" customHeight="1" x14ac:dyDescent="0.3"/>
    <row r="301" ht="12.6" customHeight="1" x14ac:dyDescent="0.3"/>
    <row r="302" ht="12.6" customHeight="1" x14ac:dyDescent="0.3"/>
    <row r="303" ht="12.6" customHeight="1" x14ac:dyDescent="0.3"/>
    <row r="304" ht="12.6" customHeight="1" x14ac:dyDescent="0.3"/>
    <row r="305" ht="12.6" customHeight="1" x14ac:dyDescent="0.3"/>
    <row r="306" ht="12.6" customHeight="1" x14ac:dyDescent="0.3"/>
    <row r="307" ht="12.6" customHeight="1" x14ac:dyDescent="0.3"/>
    <row r="308" ht="12.6" customHeight="1" x14ac:dyDescent="0.3"/>
    <row r="309" ht="12.6" customHeight="1" x14ac:dyDescent="0.3"/>
    <row r="310" ht="12.6" customHeight="1" x14ac:dyDescent="0.3"/>
    <row r="311" ht="12.6" customHeight="1" x14ac:dyDescent="0.3"/>
    <row r="312" ht="12.6" customHeight="1" x14ac:dyDescent="0.3"/>
    <row r="313" ht="12.6" customHeight="1" x14ac:dyDescent="0.3"/>
    <row r="314" ht="12.6" customHeight="1" x14ac:dyDescent="0.3"/>
    <row r="315" ht="12.6" customHeight="1" x14ac:dyDescent="0.3"/>
    <row r="316" ht="12.6" customHeight="1" x14ac:dyDescent="0.3"/>
    <row r="317" ht="12.6" customHeight="1" x14ac:dyDescent="0.3"/>
    <row r="318" ht="12.6" customHeight="1" x14ac:dyDescent="0.3"/>
    <row r="319" ht="12.6" customHeight="1" x14ac:dyDescent="0.3"/>
    <row r="320" ht="12.6" customHeight="1" x14ac:dyDescent="0.3"/>
    <row r="321" ht="12.6" customHeight="1" x14ac:dyDescent="0.3"/>
    <row r="322" ht="12.6" customHeight="1" x14ac:dyDescent="0.3"/>
    <row r="323" ht="12.6" customHeight="1" x14ac:dyDescent="0.3"/>
    <row r="324" ht="12.6" customHeight="1" x14ac:dyDescent="0.3"/>
    <row r="325" ht="12.6" customHeight="1" x14ac:dyDescent="0.3"/>
    <row r="326" ht="12.6" customHeight="1" x14ac:dyDescent="0.3"/>
    <row r="327" ht="12.6" customHeight="1" x14ac:dyDescent="0.3"/>
    <row r="328" ht="12.6" customHeight="1" x14ac:dyDescent="0.3"/>
    <row r="329" ht="12.6" customHeight="1" x14ac:dyDescent="0.3"/>
    <row r="330" ht="12.6" customHeight="1" x14ac:dyDescent="0.3"/>
    <row r="331" ht="12.6" customHeight="1" x14ac:dyDescent="0.3"/>
    <row r="332" ht="12.6" customHeight="1" x14ac:dyDescent="0.3"/>
    <row r="333" ht="12.6" customHeight="1" x14ac:dyDescent="0.3"/>
    <row r="334" ht="12.6" customHeight="1" x14ac:dyDescent="0.3"/>
    <row r="335" ht="12.6" customHeight="1" x14ac:dyDescent="0.3"/>
    <row r="336" ht="12.6" customHeight="1" x14ac:dyDescent="0.3"/>
    <row r="337" ht="12.6" customHeight="1" x14ac:dyDescent="0.3"/>
    <row r="338" ht="12.6" customHeight="1" x14ac:dyDescent="0.3"/>
    <row r="339" ht="12.6" customHeight="1" x14ac:dyDescent="0.3"/>
    <row r="340" ht="12.6" customHeight="1" x14ac:dyDescent="0.3"/>
    <row r="341" ht="12.6" customHeight="1" x14ac:dyDescent="0.3"/>
    <row r="342" ht="12.6" customHeight="1" x14ac:dyDescent="0.3"/>
    <row r="343" ht="12.6" customHeight="1" x14ac:dyDescent="0.3"/>
    <row r="344" ht="12.6" customHeight="1" x14ac:dyDescent="0.3"/>
    <row r="345" ht="12.6" customHeight="1" x14ac:dyDescent="0.3"/>
    <row r="346" ht="12.6" customHeight="1" x14ac:dyDescent="0.3"/>
    <row r="347" ht="12.6" customHeight="1" x14ac:dyDescent="0.3"/>
    <row r="348" ht="12.6" customHeight="1" x14ac:dyDescent="0.3"/>
    <row r="349" ht="12.6" customHeight="1" x14ac:dyDescent="0.3"/>
    <row r="350" ht="12.6" customHeight="1" x14ac:dyDescent="0.3"/>
    <row r="351" ht="12.6" customHeight="1" x14ac:dyDescent="0.3"/>
    <row r="352" ht="12.6" customHeight="1" x14ac:dyDescent="0.3"/>
    <row r="353" ht="12.6" customHeight="1" x14ac:dyDescent="0.3"/>
    <row r="354" ht="12.6" customHeight="1" x14ac:dyDescent="0.3"/>
    <row r="355" ht="12.6" customHeight="1" x14ac:dyDescent="0.3"/>
    <row r="356" ht="12.6" customHeight="1" x14ac:dyDescent="0.3"/>
    <row r="357" ht="12.6" customHeight="1" x14ac:dyDescent="0.3"/>
    <row r="358" ht="12.6" customHeight="1" x14ac:dyDescent="0.3"/>
    <row r="359" ht="12.6" customHeight="1" x14ac:dyDescent="0.3"/>
    <row r="360" ht="12.6" customHeight="1" x14ac:dyDescent="0.3"/>
    <row r="361" ht="12.6" customHeight="1" x14ac:dyDescent="0.3"/>
    <row r="362" ht="12.6" customHeight="1" x14ac:dyDescent="0.3"/>
    <row r="363" ht="12.6" customHeight="1" x14ac:dyDescent="0.3"/>
    <row r="364" ht="12.6" customHeight="1" x14ac:dyDescent="0.3"/>
    <row r="365" ht="12.6" customHeight="1" x14ac:dyDescent="0.3"/>
    <row r="366" ht="12.6" customHeight="1" x14ac:dyDescent="0.3"/>
    <row r="367" ht="12.6" customHeight="1" x14ac:dyDescent="0.3"/>
    <row r="368" ht="12.6" customHeight="1" x14ac:dyDescent="0.3"/>
    <row r="369" ht="12.6" customHeight="1" x14ac:dyDescent="0.3"/>
    <row r="370" ht="12.6" customHeight="1" x14ac:dyDescent="0.3"/>
    <row r="371" ht="12.6" customHeight="1" x14ac:dyDescent="0.3"/>
    <row r="372" ht="12.6" customHeight="1" x14ac:dyDescent="0.3"/>
    <row r="373" ht="12.6" customHeight="1" x14ac:dyDescent="0.3"/>
    <row r="374" ht="12.6" customHeight="1" x14ac:dyDescent="0.3"/>
    <row r="375" ht="12.6" customHeight="1" x14ac:dyDescent="0.3"/>
    <row r="376" ht="12.6" customHeight="1" x14ac:dyDescent="0.3"/>
    <row r="377" ht="12.6" customHeight="1" x14ac:dyDescent="0.3"/>
    <row r="378" ht="12.6" customHeight="1" x14ac:dyDescent="0.3"/>
    <row r="379" ht="12.6" customHeight="1" x14ac:dyDescent="0.3"/>
    <row r="380" ht="12.6" customHeight="1" x14ac:dyDescent="0.3"/>
    <row r="381" ht="12.6" customHeight="1" x14ac:dyDescent="0.3"/>
    <row r="382" ht="12.6" customHeight="1" x14ac:dyDescent="0.3"/>
    <row r="383" ht="12.6" customHeight="1" x14ac:dyDescent="0.3"/>
    <row r="384" ht="12.6" customHeight="1" x14ac:dyDescent="0.3"/>
    <row r="385" ht="12.6" customHeight="1" x14ac:dyDescent="0.3"/>
    <row r="386" ht="12.6" customHeight="1" x14ac:dyDescent="0.3"/>
    <row r="387" ht="12.6" customHeight="1" x14ac:dyDescent="0.3"/>
    <row r="388" ht="12.6" customHeight="1" x14ac:dyDescent="0.3"/>
    <row r="389" ht="12.6" customHeight="1" x14ac:dyDescent="0.3"/>
    <row r="390" ht="12.6" customHeight="1" x14ac:dyDescent="0.3"/>
    <row r="391" ht="12.6" customHeight="1" x14ac:dyDescent="0.3"/>
    <row r="392" ht="12.6" customHeight="1" x14ac:dyDescent="0.3"/>
    <row r="393" ht="12.6" customHeight="1" x14ac:dyDescent="0.3"/>
    <row r="394" ht="12.6" customHeight="1" x14ac:dyDescent="0.3"/>
    <row r="395" ht="12.6" customHeight="1" x14ac:dyDescent="0.3"/>
    <row r="396" ht="12.6" customHeight="1" x14ac:dyDescent="0.3"/>
    <row r="397" ht="12.6" customHeight="1" x14ac:dyDescent="0.3"/>
    <row r="398" ht="12.6" customHeight="1" x14ac:dyDescent="0.3"/>
    <row r="399" ht="12.6" customHeight="1" x14ac:dyDescent="0.3"/>
    <row r="400" ht="12.6" customHeight="1" x14ac:dyDescent="0.3"/>
    <row r="401" ht="12.6" customHeight="1" x14ac:dyDescent="0.3"/>
    <row r="402" ht="12.6" customHeight="1" x14ac:dyDescent="0.3"/>
    <row r="403" ht="12.6" customHeight="1" x14ac:dyDescent="0.3"/>
    <row r="404" ht="12.6" customHeight="1" x14ac:dyDescent="0.3"/>
    <row r="405" ht="12.6" customHeight="1" x14ac:dyDescent="0.3"/>
    <row r="406" ht="12.6" customHeight="1" x14ac:dyDescent="0.3"/>
    <row r="407" ht="12.6" customHeight="1" x14ac:dyDescent="0.3"/>
    <row r="408" ht="12.6" customHeight="1" x14ac:dyDescent="0.3"/>
    <row r="409" ht="12.6" customHeight="1" x14ac:dyDescent="0.3"/>
    <row r="410" ht="12.6" customHeight="1" x14ac:dyDescent="0.3"/>
    <row r="411" ht="12.6" customHeight="1" x14ac:dyDescent="0.3"/>
    <row r="412" ht="12.6" customHeight="1" x14ac:dyDescent="0.3"/>
    <row r="413" ht="12.6" customHeight="1" x14ac:dyDescent="0.3"/>
    <row r="414" ht="12.6" customHeight="1" x14ac:dyDescent="0.3"/>
    <row r="415" ht="12.6" customHeight="1" x14ac:dyDescent="0.3"/>
    <row r="416" ht="12.6" customHeight="1" x14ac:dyDescent="0.3"/>
    <row r="417" ht="12.6" customHeight="1" x14ac:dyDescent="0.3"/>
    <row r="418" ht="12.6" customHeight="1" x14ac:dyDescent="0.3"/>
    <row r="419" ht="12.6" customHeight="1" x14ac:dyDescent="0.3"/>
    <row r="420" ht="12.6" customHeight="1" x14ac:dyDescent="0.3"/>
    <row r="421" ht="12.6" customHeight="1" x14ac:dyDescent="0.3"/>
    <row r="422" ht="12.6" customHeight="1" x14ac:dyDescent="0.3"/>
    <row r="423" ht="12.6" customHeight="1" x14ac:dyDescent="0.3"/>
    <row r="424" ht="12.6" customHeight="1" x14ac:dyDescent="0.3"/>
    <row r="425" ht="12.6" customHeight="1" x14ac:dyDescent="0.3"/>
    <row r="426" ht="12.6" customHeight="1" x14ac:dyDescent="0.3"/>
    <row r="427" ht="12.6" customHeight="1" x14ac:dyDescent="0.3"/>
    <row r="428" ht="12.6" customHeight="1" x14ac:dyDescent="0.3"/>
    <row r="429" ht="12.6" customHeight="1" x14ac:dyDescent="0.3"/>
    <row r="430" ht="12.6" customHeight="1" x14ac:dyDescent="0.3"/>
    <row r="431" ht="12.6" customHeight="1" x14ac:dyDescent="0.3"/>
    <row r="432" ht="12.6" customHeight="1" x14ac:dyDescent="0.3"/>
    <row r="433" ht="12.6" customHeight="1" x14ac:dyDescent="0.3"/>
    <row r="434" ht="12.6" customHeight="1" x14ac:dyDescent="0.3"/>
    <row r="435" ht="12.6" customHeight="1" x14ac:dyDescent="0.3"/>
    <row r="436" ht="12.6" customHeight="1" x14ac:dyDescent="0.3"/>
    <row r="437" ht="12.6" customHeight="1" x14ac:dyDescent="0.3"/>
    <row r="438" ht="12.6" customHeight="1" x14ac:dyDescent="0.3"/>
    <row r="439" ht="12.6" customHeight="1" x14ac:dyDescent="0.3"/>
    <row r="440" ht="12.6" customHeight="1" x14ac:dyDescent="0.3"/>
    <row r="441" ht="12.6" customHeight="1" x14ac:dyDescent="0.3"/>
    <row r="442" ht="12.6" customHeight="1" x14ac:dyDescent="0.3"/>
    <row r="443" ht="12.6" customHeight="1" x14ac:dyDescent="0.3"/>
    <row r="444" ht="12.6" customHeight="1" x14ac:dyDescent="0.3"/>
    <row r="445" ht="12.6" customHeight="1" x14ac:dyDescent="0.3"/>
    <row r="446" ht="12.6" customHeight="1" x14ac:dyDescent="0.3"/>
    <row r="447" ht="12.6" customHeight="1" x14ac:dyDescent="0.3"/>
    <row r="448" ht="12.6" customHeight="1" x14ac:dyDescent="0.3"/>
    <row r="449" ht="12.6" customHeight="1" x14ac:dyDescent="0.3"/>
    <row r="450" ht="12.6" customHeight="1" x14ac:dyDescent="0.3"/>
    <row r="451" ht="12.6" customHeight="1" x14ac:dyDescent="0.3"/>
    <row r="452" ht="12.6" customHeight="1" x14ac:dyDescent="0.3"/>
    <row r="453" ht="12.6" customHeight="1" x14ac:dyDescent="0.3"/>
    <row r="454" ht="12.6" customHeight="1" x14ac:dyDescent="0.3"/>
    <row r="455" ht="12.6" customHeight="1" x14ac:dyDescent="0.3"/>
    <row r="456" ht="12.6" customHeight="1" x14ac:dyDescent="0.3"/>
    <row r="457" ht="12.6" customHeight="1" x14ac:dyDescent="0.3"/>
    <row r="458" ht="12.6" customHeight="1" x14ac:dyDescent="0.3"/>
    <row r="459" ht="12.6" customHeight="1" x14ac:dyDescent="0.3"/>
    <row r="460" ht="12.6" customHeight="1" x14ac:dyDescent="0.3"/>
    <row r="461" ht="12.6" customHeight="1" x14ac:dyDescent="0.3"/>
    <row r="462" ht="12.6" customHeight="1" x14ac:dyDescent="0.3"/>
    <row r="463" ht="12.6" customHeight="1" x14ac:dyDescent="0.3"/>
    <row r="464" ht="12.6" customHeight="1" x14ac:dyDescent="0.3"/>
    <row r="465" ht="12.6" customHeight="1" x14ac:dyDescent="0.3"/>
    <row r="466" ht="12.6" customHeight="1" x14ac:dyDescent="0.3"/>
    <row r="467" ht="12.6" customHeight="1" x14ac:dyDescent="0.3"/>
    <row r="468" ht="12.6" customHeight="1" x14ac:dyDescent="0.3"/>
    <row r="469" ht="12.6" customHeight="1" x14ac:dyDescent="0.3"/>
    <row r="470" ht="12.6" customHeight="1" x14ac:dyDescent="0.3"/>
    <row r="471" ht="12.6" customHeight="1" x14ac:dyDescent="0.3"/>
    <row r="472" ht="12.6" customHeight="1" x14ac:dyDescent="0.3"/>
    <row r="473" ht="12.6" customHeight="1" x14ac:dyDescent="0.3"/>
    <row r="474" ht="12.6" customHeight="1" x14ac:dyDescent="0.3"/>
    <row r="475" ht="12.6" customHeight="1" x14ac:dyDescent="0.3"/>
    <row r="476" ht="12.6" customHeight="1" x14ac:dyDescent="0.3"/>
    <row r="477" ht="12.6" customHeight="1" x14ac:dyDescent="0.3"/>
    <row r="478" ht="12.6" customHeight="1" x14ac:dyDescent="0.3"/>
    <row r="479" ht="12.6" customHeight="1" x14ac:dyDescent="0.3"/>
    <row r="480" ht="12.6" customHeight="1" x14ac:dyDescent="0.3"/>
    <row r="481" ht="12.6" customHeight="1" x14ac:dyDescent="0.3"/>
    <row r="482" ht="12.6" customHeight="1" x14ac:dyDescent="0.3"/>
    <row r="483" ht="12.6" customHeight="1" x14ac:dyDescent="0.3"/>
    <row r="484" ht="12.6" customHeight="1" x14ac:dyDescent="0.3"/>
    <row r="485" ht="12.6" customHeight="1" x14ac:dyDescent="0.3"/>
    <row r="486" ht="12.6" customHeight="1" x14ac:dyDescent="0.3"/>
    <row r="487" ht="12.6" customHeight="1" x14ac:dyDescent="0.3"/>
    <row r="488" ht="12.6" customHeight="1" x14ac:dyDescent="0.3"/>
    <row r="489" ht="12.6" customHeight="1" x14ac:dyDescent="0.3"/>
    <row r="490" ht="12.6" customHeight="1" x14ac:dyDescent="0.3"/>
    <row r="491" ht="12.6" customHeight="1" x14ac:dyDescent="0.3"/>
    <row r="492" ht="12.6" customHeight="1" x14ac:dyDescent="0.3"/>
    <row r="493" ht="12.6" customHeight="1" x14ac:dyDescent="0.3"/>
    <row r="494" ht="12.6" customHeight="1" x14ac:dyDescent="0.3"/>
    <row r="495" ht="12.6" customHeight="1" x14ac:dyDescent="0.3"/>
    <row r="496" ht="12.6" customHeight="1" x14ac:dyDescent="0.3"/>
    <row r="497" ht="12.6" customHeight="1" x14ac:dyDescent="0.3"/>
    <row r="498" ht="12.6" customHeight="1" x14ac:dyDescent="0.3"/>
    <row r="499" ht="12.6" customHeight="1" x14ac:dyDescent="0.3"/>
    <row r="500" ht="12.6" customHeight="1" x14ac:dyDescent="0.3"/>
    <row r="501" ht="12.6" customHeight="1" x14ac:dyDescent="0.3"/>
    <row r="502" ht="12.6" customHeight="1" x14ac:dyDescent="0.3"/>
    <row r="503" ht="12.6" customHeight="1" x14ac:dyDescent="0.3"/>
    <row r="504" ht="12.6" customHeight="1" x14ac:dyDescent="0.3"/>
    <row r="505" ht="12.6" customHeight="1" x14ac:dyDescent="0.3"/>
    <row r="506" ht="12.6" customHeight="1" x14ac:dyDescent="0.3"/>
    <row r="507" ht="12.6" customHeight="1" x14ac:dyDescent="0.3"/>
    <row r="508" ht="12.6" customHeight="1" x14ac:dyDescent="0.3"/>
    <row r="509" ht="12.6" customHeight="1" x14ac:dyDescent="0.3"/>
    <row r="510" ht="12.6" customHeight="1" x14ac:dyDescent="0.3"/>
    <row r="511" ht="12.6" customHeight="1" x14ac:dyDescent="0.3"/>
    <row r="512" ht="12.6" customHeight="1" x14ac:dyDescent="0.3"/>
    <row r="513" ht="12.6" customHeight="1" x14ac:dyDescent="0.3"/>
    <row r="514" ht="12.6" customHeight="1" x14ac:dyDescent="0.3"/>
    <row r="515" ht="12.6" customHeight="1" x14ac:dyDescent="0.3"/>
    <row r="516" ht="12.6" customHeight="1" x14ac:dyDescent="0.3"/>
    <row r="517" ht="12.6" customHeight="1" x14ac:dyDescent="0.3"/>
    <row r="518" ht="12.6" customHeight="1" x14ac:dyDescent="0.3"/>
    <row r="519" ht="12.6" customHeight="1" x14ac:dyDescent="0.3"/>
    <row r="520" ht="12.6" customHeight="1" x14ac:dyDescent="0.3"/>
    <row r="521" ht="12.6" customHeight="1" x14ac:dyDescent="0.3"/>
    <row r="522" ht="12.6" customHeight="1" x14ac:dyDescent="0.3"/>
    <row r="523" ht="12.6" customHeight="1" x14ac:dyDescent="0.3"/>
    <row r="524" ht="12.6" customHeight="1" x14ac:dyDescent="0.3"/>
    <row r="525" ht="12.6" customHeight="1" x14ac:dyDescent="0.3"/>
    <row r="526" ht="12.6" customHeight="1" x14ac:dyDescent="0.3"/>
    <row r="527" ht="12.6" customHeight="1" x14ac:dyDescent="0.3"/>
    <row r="528" ht="12.6" customHeight="1" x14ac:dyDescent="0.3"/>
    <row r="529" ht="12.6" customHeight="1" x14ac:dyDescent="0.3"/>
    <row r="530" ht="12.6" customHeight="1" x14ac:dyDescent="0.3"/>
    <row r="531" ht="12.6" customHeight="1" x14ac:dyDescent="0.3"/>
    <row r="532" ht="12.6" customHeight="1" x14ac:dyDescent="0.3"/>
    <row r="533" ht="12.6" customHeight="1" x14ac:dyDescent="0.3"/>
    <row r="534" ht="12.6" customHeight="1" x14ac:dyDescent="0.3"/>
    <row r="535" ht="12.6" customHeight="1" x14ac:dyDescent="0.3"/>
    <row r="536" ht="12.6" customHeight="1" x14ac:dyDescent="0.3"/>
    <row r="537" ht="12.6" customHeight="1" x14ac:dyDescent="0.3"/>
    <row r="538" ht="12.6" customHeight="1" x14ac:dyDescent="0.3"/>
    <row r="539" ht="12.6" customHeight="1" x14ac:dyDescent="0.3"/>
    <row r="540" ht="12.6" customHeight="1" x14ac:dyDescent="0.3"/>
    <row r="541" ht="12.6" customHeight="1" x14ac:dyDescent="0.3"/>
    <row r="542" ht="12.6" customHeight="1" x14ac:dyDescent="0.3"/>
    <row r="543" ht="12.6" customHeight="1" x14ac:dyDescent="0.3"/>
    <row r="544" ht="12.6" customHeight="1" x14ac:dyDescent="0.3"/>
    <row r="545" ht="12.6" customHeight="1" x14ac:dyDescent="0.3"/>
    <row r="546" ht="12.6" customHeight="1" x14ac:dyDescent="0.3"/>
    <row r="547" ht="12.6" customHeight="1" x14ac:dyDescent="0.3"/>
    <row r="548" ht="12.6" customHeight="1" x14ac:dyDescent="0.3"/>
    <row r="549" ht="12.6" customHeight="1" x14ac:dyDescent="0.3"/>
    <row r="550" ht="12.6" customHeight="1" x14ac:dyDescent="0.3"/>
    <row r="551" ht="12.6" customHeight="1" x14ac:dyDescent="0.3"/>
    <row r="552" ht="12.6" customHeight="1" x14ac:dyDescent="0.3"/>
    <row r="553" ht="12.6" customHeight="1" x14ac:dyDescent="0.3"/>
    <row r="554" ht="12.6" customHeight="1" x14ac:dyDescent="0.3"/>
    <row r="555" ht="12.6" customHeight="1" x14ac:dyDescent="0.3"/>
    <row r="556" ht="12.6" customHeight="1" x14ac:dyDescent="0.3"/>
    <row r="557" ht="12.6" customHeight="1" x14ac:dyDescent="0.3"/>
    <row r="558" ht="12.6" customHeight="1" x14ac:dyDescent="0.3"/>
    <row r="559" ht="12.6" customHeight="1" x14ac:dyDescent="0.3"/>
    <row r="560" ht="12.6" customHeight="1" x14ac:dyDescent="0.3"/>
    <row r="561" ht="12.6" customHeight="1" x14ac:dyDescent="0.3"/>
    <row r="562" ht="12.6" customHeight="1" x14ac:dyDescent="0.3"/>
    <row r="563" ht="12.6" customHeight="1" x14ac:dyDescent="0.3"/>
    <row r="564" ht="12.6" customHeight="1" x14ac:dyDescent="0.3"/>
    <row r="565" ht="12.6" customHeight="1" x14ac:dyDescent="0.3"/>
    <row r="566" ht="12.6" customHeight="1" x14ac:dyDescent="0.3"/>
    <row r="567" ht="12.6" customHeight="1" x14ac:dyDescent="0.3"/>
    <row r="568" ht="12.6" customHeight="1" x14ac:dyDescent="0.3"/>
    <row r="569" ht="12.6" customHeight="1" x14ac:dyDescent="0.3"/>
    <row r="570" ht="12.6" customHeight="1" x14ac:dyDescent="0.3"/>
    <row r="571" ht="12.6" customHeight="1" x14ac:dyDescent="0.3"/>
    <row r="572" ht="12.6" customHeight="1" x14ac:dyDescent="0.3"/>
    <row r="573" ht="12.6" customHeight="1" x14ac:dyDescent="0.3"/>
    <row r="574" ht="12.6" customHeight="1" x14ac:dyDescent="0.3"/>
    <row r="575" ht="12.6" customHeight="1" x14ac:dyDescent="0.3"/>
    <row r="576" ht="12.6" customHeight="1" x14ac:dyDescent="0.3"/>
    <row r="577" ht="12.6" customHeight="1" x14ac:dyDescent="0.3"/>
    <row r="578" ht="12.6" customHeight="1" x14ac:dyDescent="0.3"/>
    <row r="579" ht="12.6" customHeight="1" x14ac:dyDescent="0.3"/>
    <row r="580" ht="12.6" customHeight="1" x14ac:dyDescent="0.3"/>
    <row r="581" ht="12.6" customHeight="1" x14ac:dyDescent="0.3"/>
    <row r="582" ht="12.6" customHeight="1" x14ac:dyDescent="0.3"/>
    <row r="583" ht="12.6" customHeight="1" x14ac:dyDescent="0.3"/>
    <row r="584" ht="12.6" customHeight="1" x14ac:dyDescent="0.3"/>
    <row r="585" ht="12.6" customHeight="1" x14ac:dyDescent="0.3"/>
    <row r="586" ht="12.6" customHeight="1" x14ac:dyDescent="0.3"/>
    <row r="587" ht="12.6" customHeight="1" x14ac:dyDescent="0.3"/>
    <row r="588" ht="12.6" customHeight="1" x14ac:dyDescent="0.3"/>
    <row r="589" ht="12.6" customHeight="1" x14ac:dyDescent="0.3"/>
    <row r="590" ht="12.6" customHeight="1" x14ac:dyDescent="0.3"/>
    <row r="591" ht="12.6" customHeight="1" x14ac:dyDescent="0.3"/>
    <row r="592" ht="12.6" customHeight="1" x14ac:dyDescent="0.3"/>
    <row r="593" ht="12.6" customHeight="1" x14ac:dyDescent="0.3"/>
    <row r="594" ht="12.6" customHeight="1" x14ac:dyDescent="0.3"/>
    <row r="595" ht="12.6" customHeight="1" x14ac:dyDescent="0.3"/>
    <row r="596" ht="12.6" customHeight="1" x14ac:dyDescent="0.3"/>
    <row r="597" ht="12.6" customHeight="1" x14ac:dyDescent="0.3"/>
    <row r="598" ht="12.6" customHeight="1" x14ac:dyDescent="0.3"/>
    <row r="599" ht="12.6" customHeight="1" x14ac:dyDescent="0.3"/>
    <row r="600" ht="12.6" customHeight="1" x14ac:dyDescent="0.3"/>
    <row r="601" ht="12.6" customHeight="1" x14ac:dyDescent="0.3"/>
    <row r="602" ht="12.6" customHeight="1" x14ac:dyDescent="0.3"/>
    <row r="603" ht="12.6" customHeight="1" x14ac:dyDescent="0.3"/>
    <row r="604" ht="12.6" customHeight="1" x14ac:dyDescent="0.3"/>
    <row r="605" ht="12.6" customHeight="1" x14ac:dyDescent="0.3"/>
    <row r="606" ht="12.6" customHeight="1" x14ac:dyDescent="0.3"/>
    <row r="607" ht="12.6" customHeight="1" x14ac:dyDescent="0.3"/>
    <row r="608" ht="12.6" customHeight="1" x14ac:dyDescent="0.3"/>
    <row r="609" ht="12.6" customHeight="1" x14ac:dyDescent="0.3"/>
    <row r="610" ht="12.6" customHeight="1" x14ac:dyDescent="0.3"/>
    <row r="611" ht="12.6" customHeight="1" x14ac:dyDescent="0.3"/>
    <row r="612" ht="12.6" customHeight="1" x14ac:dyDescent="0.3"/>
    <row r="613" ht="12.6" customHeight="1" x14ac:dyDescent="0.3"/>
    <row r="614" ht="12.6" customHeight="1" x14ac:dyDescent="0.3"/>
    <row r="615" ht="12.6" customHeight="1" x14ac:dyDescent="0.3"/>
    <row r="616" ht="12.6" customHeight="1" x14ac:dyDescent="0.3"/>
    <row r="617" ht="12.6" customHeight="1" x14ac:dyDescent="0.3"/>
    <row r="618" ht="12.6" customHeight="1" x14ac:dyDescent="0.3"/>
    <row r="619" ht="12.6" customHeight="1" x14ac:dyDescent="0.3"/>
    <row r="620" ht="12.6" customHeight="1" x14ac:dyDescent="0.3"/>
    <row r="621" ht="12.6" customHeight="1" x14ac:dyDescent="0.3"/>
    <row r="622" ht="12.6" customHeight="1" x14ac:dyDescent="0.3"/>
    <row r="623" ht="12.6" customHeight="1" x14ac:dyDescent="0.3"/>
    <row r="624" ht="12.6" customHeight="1" x14ac:dyDescent="0.3"/>
    <row r="625" ht="12.6" customHeight="1" x14ac:dyDescent="0.3"/>
    <row r="626" ht="12.6" customHeight="1" x14ac:dyDescent="0.3"/>
    <row r="627" ht="12.6" customHeight="1" x14ac:dyDescent="0.3"/>
    <row r="628" ht="12.6" customHeight="1" x14ac:dyDescent="0.3"/>
    <row r="629" ht="12.6" customHeight="1" x14ac:dyDescent="0.3"/>
    <row r="630" ht="12.6" customHeight="1" x14ac:dyDescent="0.3"/>
    <row r="631" ht="12.6" customHeight="1" x14ac:dyDescent="0.3"/>
    <row r="632" ht="12.6" customHeight="1" x14ac:dyDescent="0.3"/>
    <row r="633" ht="12.6" customHeight="1" x14ac:dyDescent="0.3"/>
    <row r="634" ht="12.6" customHeight="1" x14ac:dyDescent="0.3"/>
    <row r="635" ht="12.6" customHeight="1" x14ac:dyDescent="0.3"/>
    <row r="636" ht="12.6" customHeight="1" x14ac:dyDescent="0.3"/>
    <row r="637" ht="12.6" customHeight="1" x14ac:dyDescent="0.3"/>
    <row r="638" ht="12.6" customHeight="1" x14ac:dyDescent="0.3"/>
    <row r="639" ht="12.6" customHeight="1" x14ac:dyDescent="0.3"/>
    <row r="640" ht="12.6" customHeight="1" x14ac:dyDescent="0.3"/>
    <row r="641" ht="12.6" customHeight="1" x14ac:dyDescent="0.3"/>
    <row r="642" ht="12.6" customHeight="1" x14ac:dyDescent="0.3"/>
    <row r="643" ht="12.6" customHeight="1" x14ac:dyDescent="0.3"/>
    <row r="644" ht="12.6" customHeight="1" x14ac:dyDescent="0.3"/>
    <row r="645" ht="12.6" customHeight="1" x14ac:dyDescent="0.3"/>
    <row r="646" ht="12.6" customHeight="1" x14ac:dyDescent="0.3"/>
    <row r="647" ht="12.6" customHeight="1" x14ac:dyDescent="0.3"/>
    <row r="648" ht="12.6" customHeight="1" x14ac:dyDescent="0.3"/>
    <row r="649" ht="12.6" customHeight="1" x14ac:dyDescent="0.3"/>
    <row r="650" ht="12.6" customHeight="1" x14ac:dyDescent="0.3"/>
    <row r="651" ht="12.6" customHeight="1" x14ac:dyDescent="0.3"/>
    <row r="652" ht="12.6" customHeight="1" x14ac:dyDescent="0.3"/>
    <row r="653" ht="12.6" customHeight="1" x14ac:dyDescent="0.3"/>
    <row r="654" ht="12.6" customHeight="1" x14ac:dyDescent="0.3"/>
    <row r="655" ht="12.6" customHeight="1" x14ac:dyDescent="0.3"/>
    <row r="656" ht="12.6" customHeight="1" x14ac:dyDescent="0.3"/>
    <row r="657" ht="12.6" customHeight="1" x14ac:dyDescent="0.3"/>
    <row r="658" ht="12.6" customHeight="1" x14ac:dyDescent="0.3"/>
    <row r="659" ht="12.6" customHeight="1" x14ac:dyDescent="0.3"/>
    <row r="660" ht="12.6" customHeight="1" x14ac:dyDescent="0.3"/>
    <row r="661" ht="12.6" customHeight="1" x14ac:dyDescent="0.3"/>
    <row r="662" ht="12.6" customHeight="1" x14ac:dyDescent="0.3"/>
    <row r="663" ht="12.6" customHeight="1" x14ac:dyDescent="0.3"/>
    <row r="664" ht="12.6" customHeight="1" x14ac:dyDescent="0.3"/>
    <row r="665" ht="12.6" customHeight="1" x14ac:dyDescent="0.3"/>
    <row r="666" ht="12.6" customHeight="1" x14ac:dyDescent="0.3"/>
    <row r="667" ht="12.6" customHeight="1" x14ac:dyDescent="0.3"/>
    <row r="668" ht="12.6" customHeight="1" x14ac:dyDescent="0.3"/>
    <row r="669" ht="12.6" customHeight="1" x14ac:dyDescent="0.3"/>
    <row r="670" ht="12.6" customHeight="1" x14ac:dyDescent="0.3"/>
    <row r="671" ht="12.6" customHeight="1" x14ac:dyDescent="0.3"/>
    <row r="672" ht="12.6" customHeight="1" x14ac:dyDescent="0.3"/>
    <row r="673" ht="12.6" customHeight="1" x14ac:dyDescent="0.3"/>
    <row r="674" ht="12.6" customHeight="1" x14ac:dyDescent="0.3"/>
    <row r="675" ht="12.6" customHeight="1" x14ac:dyDescent="0.3"/>
    <row r="676" ht="12.6" customHeight="1" x14ac:dyDescent="0.3"/>
    <row r="677" ht="12.6" customHeight="1" x14ac:dyDescent="0.3"/>
    <row r="678" ht="12.6" customHeight="1" x14ac:dyDescent="0.3"/>
    <row r="679" ht="12.6" customHeight="1" x14ac:dyDescent="0.3"/>
    <row r="680" ht="12.6" customHeight="1" x14ac:dyDescent="0.3"/>
    <row r="681" ht="12.6" customHeight="1" x14ac:dyDescent="0.3"/>
    <row r="682" ht="12.6" customHeight="1" x14ac:dyDescent="0.3"/>
    <row r="683" ht="12.6" customHeight="1" x14ac:dyDescent="0.3"/>
    <row r="684" ht="12.6" customHeight="1" x14ac:dyDescent="0.3"/>
    <row r="685" ht="12.6" customHeight="1" x14ac:dyDescent="0.3"/>
    <row r="686" ht="12.6" customHeight="1" x14ac:dyDescent="0.3"/>
    <row r="687" ht="12.6" customHeight="1" x14ac:dyDescent="0.3"/>
    <row r="688" ht="12.6" customHeight="1" x14ac:dyDescent="0.3"/>
    <row r="689" ht="12.6" customHeight="1" x14ac:dyDescent="0.3"/>
    <row r="690" ht="12.6" customHeight="1" x14ac:dyDescent="0.3"/>
    <row r="691" ht="12.6" customHeight="1" x14ac:dyDescent="0.3"/>
    <row r="692" ht="12.6" customHeight="1" x14ac:dyDescent="0.3"/>
    <row r="693" ht="12.6" customHeight="1" x14ac:dyDescent="0.3"/>
    <row r="694" ht="12.6" customHeight="1" x14ac:dyDescent="0.3"/>
    <row r="695" ht="12.6" customHeight="1" x14ac:dyDescent="0.3"/>
    <row r="696" ht="12.6" customHeight="1" x14ac:dyDescent="0.3"/>
    <row r="697" ht="12.6" customHeight="1" x14ac:dyDescent="0.3"/>
    <row r="698" ht="12.6" customHeight="1" x14ac:dyDescent="0.3"/>
    <row r="699" ht="12.6" customHeight="1" x14ac:dyDescent="0.3"/>
    <row r="700" ht="12.6" customHeight="1" x14ac:dyDescent="0.3"/>
    <row r="701" ht="12.6" customHeight="1" x14ac:dyDescent="0.3"/>
    <row r="702" ht="12.6" customHeight="1" x14ac:dyDescent="0.3"/>
    <row r="703" ht="12.6" customHeight="1" x14ac:dyDescent="0.3"/>
    <row r="704" ht="12.6" customHeight="1" x14ac:dyDescent="0.3"/>
    <row r="705" ht="12.6" customHeight="1" x14ac:dyDescent="0.3"/>
    <row r="706" ht="12.6" customHeight="1" x14ac:dyDescent="0.3"/>
    <row r="707" ht="12.6" customHeight="1" x14ac:dyDescent="0.3"/>
    <row r="708" ht="12.6" customHeight="1" x14ac:dyDescent="0.3"/>
    <row r="709" ht="12.6" customHeight="1" x14ac:dyDescent="0.3"/>
    <row r="710" ht="12.6" customHeight="1" x14ac:dyDescent="0.3"/>
    <row r="711" ht="12.6" customHeight="1" x14ac:dyDescent="0.3"/>
    <row r="712" ht="12.6" customHeight="1" x14ac:dyDescent="0.3"/>
    <row r="713" ht="12.6" customHeight="1" x14ac:dyDescent="0.3"/>
    <row r="714" ht="12.6" customHeight="1" x14ac:dyDescent="0.3"/>
    <row r="715" ht="12.6" customHeight="1" x14ac:dyDescent="0.3"/>
    <row r="716" ht="12.6" customHeight="1" x14ac:dyDescent="0.3"/>
    <row r="717" ht="12.6" customHeight="1" x14ac:dyDescent="0.3"/>
    <row r="718" ht="12.6" customHeight="1" x14ac:dyDescent="0.3"/>
    <row r="719" ht="12.6" customHeight="1" x14ac:dyDescent="0.3"/>
    <row r="720" ht="12.6" customHeight="1" x14ac:dyDescent="0.3"/>
    <row r="721" ht="12.6" customHeight="1" x14ac:dyDescent="0.3"/>
    <row r="722" ht="12.6" customHeight="1" x14ac:dyDescent="0.3"/>
    <row r="723" ht="12.6" customHeight="1" x14ac:dyDescent="0.3"/>
    <row r="724" ht="12.6" customHeight="1" x14ac:dyDescent="0.3"/>
    <row r="725" ht="12.6" customHeight="1" x14ac:dyDescent="0.3"/>
    <row r="726" ht="12.6" customHeight="1" x14ac:dyDescent="0.3"/>
    <row r="727" ht="12.6" customHeight="1" x14ac:dyDescent="0.3"/>
    <row r="728" ht="12.6" customHeight="1" x14ac:dyDescent="0.3"/>
    <row r="729" ht="12.6" customHeight="1" x14ac:dyDescent="0.3"/>
    <row r="730" ht="12.6" customHeight="1" x14ac:dyDescent="0.3"/>
    <row r="731" ht="12.6" customHeight="1" x14ac:dyDescent="0.3"/>
    <row r="732" ht="12.6" customHeight="1" x14ac:dyDescent="0.3"/>
    <row r="733" ht="12.6" customHeight="1" x14ac:dyDescent="0.3"/>
    <row r="734" ht="12.6" customHeight="1" x14ac:dyDescent="0.3"/>
    <row r="735" ht="12.6" customHeight="1" x14ac:dyDescent="0.3"/>
    <row r="736" ht="12.6" customHeight="1" x14ac:dyDescent="0.3"/>
    <row r="737" ht="12.6" customHeight="1" x14ac:dyDescent="0.3"/>
    <row r="738" ht="12.6" customHeight="1" x14ac:dyDescent="0.3"/>
    <row r="739" ht="12.6" customHeight="1" x14ac:dyDescent="0.3"/>
    <row r="740" ht="12.6" customHeight="1" x14ac:dyDescent="0.3"/>
    <row r="741" ht="12.6" customHeight="1" x14ac:dyDescent="0.3"/>
    <row r="742" ht="12.6" customHeight="1" x14ac:dyDescent="0.3"/>
    <row r="743" ht="12.6" customHeight="1" x14ac:dyDescent="0.3"/>
    <row r="744" ht="12.6" customHeight="1" x14ac:dyDescent="0.3"/>
    <row r="745" ht="12.6" customHeight="1" x14ac:dyDescent="0.3"/>
    <row r="746" ht="12.6" customHeight="1" x14ac:dyDescent="0.3"/>
    <row r="747" ht="12.6" customHeight="1" x14ac:dyDescent="0.3"/>
    <row r="748" ht="12.6" customHeight="1" x14ac:dyDescent="0.3"/>
    <row r="749" ht="12.6" customHeight="1" x14ac:dyDescent="0.3"/>
    <row r="750" ht="12.6" customHeight="1" x14ac:dyDescent="0.3"/>
    <row r="751" ht="12.6" customHeight="1" x14ac:dyDescent="0.3"/>
    <row r="752" ht="12.6" customHeight="1" x14ac:dyDescent="0.3"/>
    <row r="753" ht="12.6" customHeight="1" x14ac:dyDescent="0.3"/>
    <row r="754" ht="12.6" customHeight="1" x14ac:dyDescent="0.3"/>
    <row r="755" ht="12.6" customHeight="1" x14ac:dyDescent="0.3"/>
    <row r="756" ht="12.6" customHeight="1" x14ac:dyDescent="0.3"/>
    <row r="757" ht="12.6" customHeight="1" x14ac:dyDescent="0.3"/>
    <row r="758" ht="12.6" customHeight="1" x14ac:dyDescent="0.3"/>
    <row r="759" ht="12.6" customHeight="1" x14ac:dyDescent="0.3"/>
    <row r="760" ht="12.6" customHeight="1" x14ac:dyDescent="0.3"/>
    <row r="761" ht="12.6" customHeight="1" x14ac:dyDescent="0.3"/>
    <row r="762" ht="12.6" customHeight="1" x14ac:dyDescent="0.3"/>
    <row r="763" ht="12.6" customHeight="1" x14ac:dyDescent="0.3"/>
    <row r="764" ht="12.6" customHeight="1" x14ac:dyDescent="0.3"/>
    <row r="765" ht="12.6" customHeight="1" x14ac:dyDescent="0.3"/>
    <row r="766" ht="12.6" customHeight="1" x14ac:dyDescent="0.3"/>
    <row r="767" ht="12.6" customHeight="1" x14ac:dyDescent="0.3"/>
    <row r="768" ht="12.6" customHeight="1" x14ac:dyDescent="0.3"/>
    <row r="769" ht="12.6" customHeight="1" x14ac:dyDescent="0.3"/>
    <row r="770" ht="12.6" customHeight="1" x14ac:dyDescent="0.3"/>
    <row r="771" ht="12.6" customHeight="1" x14ac:dyDescent="0.3"/>
    <row r="772" ht="12.6" customHeight="1" x14ac:dyDescent="0.3"/>
    <row r="773" ht="12.6" customHeight="1" x14ac:dyDescent="0.3"/>
    <row r="774" ht="12.6" customHeight="1" x14ac:dyDescent="0.3"/>
    <row r="775" ht="12.6" customHeight="1" x14ac:dyDescent="0.3"/>
    <row r="776" ht="12.6" customHeight="1" x14ac:dyDescent="0.3"/>
    <row r="777" ht="12.6" customHeight="1" x14ac:dyDescent="0.3"/>
    <row r="778" ht="12.6" customHeight="1" x14ac:dyDescent="0.3"/>
    <row r="779" ht="12.6" customHeight="1" x14ac:dyDescent="0.3"/>
    <row r="780" ht="12.6" customHeight="1" x14ac:dyDescent="0.3"/>
    <row r="781" ht="12.6" customHeight="1" x14ac:dyDescent="0.3"/>
    <row r="782" ht="12.6" customHeight="1" x14ac:dyDescent="0.3"/>
    <row r="783" ht="12.6" customHeight="1" x14ac:dyDescent="0.3"/>
    <row r="784" ht="12.6" customHeight="1" x14ac:dyDescent="0.3"/>
    <row r="785" ht="12.6" customHeight="1" x14ac:dyDescent="0.3"/>
    <row r="786" ht="12.6" customHeight="1" x14ac:dyDescent="0.3"/>
    <row r="787" ht="12.6" customHeight="1" x14ac:dyDescent="0.3"/>
    <row r="788" ht="12.6" customHeight="1" x14ac:dyDescent="0.3"/>
    <row r="789" ht="12.6" customHeight="1" x14ac:dyDescent="0.3"/>
    <row r="790" ht="12.6" customHeight="1" x14ac:dyDescent="0.3"/>
    <row r="791" ht="12.6" customHeight="1" x14ac:dyDescent="0.3"/>
    <row r="792" ht="12.6" customHeight="1" x14ac:dyDescent="0.3"/>
    <row r="793" ht="12.6" customHeight="1" x14ac:dyDescent="0.3"/>
    <row r="794" ht="12.6" customHeight="1" x14ac:dyDescent="0.3"/>
    <row r="795" ht="12.6" customHeight="1" x14ac:dyDescent="0.3"/>
    <row r="796" ht="12.6" customHeight="1" x14ac:dyDescent="0.3"/>
    <row r="797" ht="12.6" customHeight="1" x14ac:dyDescent="0.3"/>
    <row r="798" ht="12.6" customHeight="1" x14ac:dyDescent="0.3"/>
    <row r="799" ht="12.6" customHeight="1" x14ac:dyDescent="0.3"/>
    <row r="800" ht="12.6" customHeight="1" x14ac:dyDescent="0.3"/>
    <row r="801" ht="12.6" customHeight="1" x14ac:dyDescent="0.3"/>
    <row r="802" ht="12.6" customHeight="1" x14ac:dyDescent="0.3"/>
    <row r="803" ht="12.6" customHeight="1" x14ac:dyDescent="0.3"/>
    <row r="804" ht="12.6" customHeight="1" x14ac:dyDescent="0.3"/>
    <row r="805" ht="12.6" customHeight="1" x14ac:dyDescent="0.3"/>
    <row r="806" ht="12.6" customHeight="1" x14ac:dyDescent="0.3"/>
    <row r="807" ht="12.6" customHeight="1" x14ac:dyDescent="0.3"/>
    <row r="808" ht="12.6" customHeight="1" x14ac:dyDescent="0.3"/>
    <row r="809" ht="12.6" customHeight="1" x14ac:dyDescent="0.3"/>
    <row r="810" ht="12.6" customHeight="1" x14ac:dyDescent="0.3"/>
    <row r="811" ht="12.6" customHeight="1" x14ac:dyDescent="0.3"/>
    <row r="812" ht="12.6" customHeight="1" x14ac:dyDescent="0.3"/>
    <row r="813" ht="12.6" customHeight="1" x14ac:dyDescent="0.3"/>
    <row r="814" ht="12.6" customHeight="1" x14ac:dyDescent="0.3"/>
    <row r="815" ht="12.6" customHeight="1" x14ac:dyDescent="0.3"/>
    <row r="816" ht="12.6" customHeight="1" x14ac:dyDescent="0.3"/>
    <row r="817" ht="12.6" customHeight="1" x14ac:dyDescent="0.3"/>
    <row r="818" ht="12.6" customHeight="1" x14ac:dyDescent="0.3"/>
    <row r="819" ht="12.6" customHeight="1" x14ac:dyDescent="0.3"/>
    <row r="820" ht="12.6" customHeight="1" x14ac:dyDescent="0.3"/>
    <row r="821" ht="12.6" customHeight="1" x14ac:dyDescent="0.3"/>
    <row r="822" ht="12.6" customHeight="1" x14ac:dyDescent="0.3"/>
    <row r="823" ht="12.6" customHeight="1" x14ac:dyDescent="0.3"/>
    <row r="824" ht="12.6" customHeight="1" x14ac:dyDescent="0.3"/>
    <row r="825" ht="12.6" customHeight="1" x14ac:dyDescent="0.3"/>
    <row r="826" ht="12.6" customHeight="1" x14ac:dyDescent="0.3"/>
    <row r="827" ht="12.6" customHeight="1" x14ac:dyDescent="0.3"/>
    <row r="828" ht="12.6" customHeight="1" x14ac:dyDescent="0.3"/>
    <row r="829" ht="12.6" customHeight="1" x14ac:dyDescent="0.3"/>
    <row r="830" ht="12.6" customHeight="1" x14ac:dyDescent="0.3"/>
    <row r="831" ht="12.6" customHeight="1" x14ac:dyDescent="0.3"/>
    <row r="832" ht="12.6" customHeight="1" x14ac:dyDescent="0.3"/>
    <row r="833" ht="12.6" customHeight="1" x14ac:dyDescent="0.3"/>
    <row r="834" ht="12.6" customHeight="1" x14ac:dyDescent="0.3"/>
    <row r="835" ht="12.6" customHeight="1" x14ac:dyDescent="0.3"/>
    <row r="836" ht="12.6" customHeight="1" x14ac:dyDescent="0.3"/>
    <row r="837" ht="12.6" customHeight="1" x14ac:dyDescent="0.3"/>
    <row r="838" ht="12.6" customHeight="1" x14ac:dyDescent="0.3"/>
    <row r="839" ht="12.6" customHeight="1" x14ac:dyDescent="0.3"/>
    <row r="840" ht="12.6" customHeight="1" x14ac:dyDescent="0.3"/>
    <row r="841" ht="12.6" customHeight="1" x14ac:dyDescent="0.3"/>
    <row r="842" ht="12.6" customHeight="1" x14ac:dyDescent="0.3"/>
    <row r="843" ht="12.6" customHeight="1" x14ac:dyDescent="0.3"/>
    <row r="844" ht="12.6" customHeight="1" x14ac:dyDescent="0.3"/>
    <row r="845" ht="12.6" customHeight="1" x14ac:dyDescent="0.3"/>
    <row r="846" ht="12.6" customHeight="1" x14ac:dyDescent="0.3"/>
    <row r="847" ht="12.6" customHeight="1" x14ac:dyDescent="0.3"/>
    <row r="848" ht="12.6" customHeight="1" x14ac:dyDescent="0.3"/>
    <row r="849" ht="12.6" customHeight="1" x14ac:dyDescent="0.3"/>
    <row r="850" ht="12.6" customHeight="1" x14ac:dyDescent="0.3"/>
    <row r="851" ht="12.6" customHeight="1" x14ac:dyDescent="0.3"/>
    <row r="852" ht="12.6" customHeight="1" x14ac:dyDescent="0.3"/>
    <row r="853" ht="12.6" customHeight="1" x14ac:dyDescent="0.3"/>
    <row r="854" ht="12.6" customHeight="1" x14ac:dyDescent="0.3"/>
    <row r="855" ht="12.6" customHeight="1" x14ac:dyDescent="0.3"/>
    <row r="856" ht="12.6" customHeight="1" x14ac:dyDescent="0.3"/>
    <row r="857" ht="12.6" customHeight="1" x14ac:dyDescent="0.3"/>
    <row r="858" ht="12.6" customHeight="1" x14ac:dyDescent="0.3"/>
    <row r="859" ht="12.6" customHeight="1" x14ac:dyDescent="0.3"/>
    <row r="860" ht="12.6" customHeight="1" x14ac:dyDescent="0.3"/>
    <row r="861" ht="12.6" customHeight="1" x14ac:dyDescent="0.3"/>
    <row r="862" ht="12.6" customHeight="1" x14ac:dyDescent="0.3"/>
    <row r="863" ht="12.6" customHeight="1" x14ac:dyDescent="0.3"/>
    <row r="864" ht="12.6" customHeight="1" x14ac:dyDescent="0.3"/>
    <row r="865" ht="12.6" customHeight="1" x14ac:dyDescent="0.3"/>
    <row r="866" ht="12.6" customHeight="1" x14ac:dyDescent="0.3"/>
    <row r="867" ht="12.6" customHeight="1" x14ac:dyDescent="0.3"/>
    <row r="868" ht="12.6" customHeight="1" x14ac:dyDescent="0.3"/>
    <row r="869" ht="12.6" customHeight="1" x14ac:dyDescent="0.3"/>
    <row r="870" ht="12.6" customHeight="1" x14ac:dyDescent="0.3"/>
    <row r="871" ht="12.6" customHeight="1" x14ac:dyDescent="0.3"/>
    <row r="872" ht="12.6" customHeight="1" x14ac:dyDescent="0.3"/>
    <row r="873" ht="12.6" customHeight="1" x14ac:dyDescent="0.3"/>
    <row r="874" ht="12.6" customHeight="1" x14ac:dyDescent="0.3"/>
    <row r="875" ht="12.6" customHeight="1" x14ac:dyDescent="0.3"/>
    <row r="876" ht="12.6" customHeight="1" x14ac:dyDescent="0.3"/>
    <row r="877" ht="12.6" customHeight="1" x14ac:dyDescent="0.3"/>
    <row r="878" ht="12.6" customHeight="1" x14ac:dyDescent="0.3"/>
    <row r="879" ht="12.6" customHeight="1" x14ac:dyDescent="0.3"/>
    <row r="880" ht="12.6" customHeight="1" x14ac:dyDescent="0.3"/>
    <row r="881" ht="12.6" customHeight="1" x14ac:dyDescent="0.3"/>
    <row r="882" ht="12.6" customHeight="1" x14ac:dyDescent="0.3"/>
    <row r="883" ht="12.6" customHeight="1" x14ac:dyDescent="0.3"/>
    <row r="884" ht="12.6" customHeight="1" x14ac:dyDescent="0.3"/>
    <row r="885" ht="12.6" customHeight="1" x14ac:dyDescent="0.3"/>
    <row r="886" ht="12.6" customHeight="1" x14ac:dyDescent="0.3"/>
    <row r="887" ht="12.6" customHeight="1" x14ac:dyDescent="0.3"/>
    <row r="888" ht="12.6" customHeight="1" x14ac:dyDescent="0.3"/>
    <row r="889" ht="12.6" customHeight="1" x14ac:dyDescent="0.3"/>
    <row r="890" ht="12.6" customHeight="1" x14ac:dyDescent="0.3"/>
    <row r="891" ht="12.6" customHeight="1" x14ac:dyDescent="0.3"/>
    <row r="892" ht="12.6" customHeight="1" x14ac:dyDescent="0.3"/>
    <row r="893" ht="12.6" customHeight="1" x14ac:dyDescent="0.3"/>
    <row r="894" ht="12.6" customHeight="1" x14ac:dyDescent="0.3"/>
    <row r="895" ht="12.6" customHeight="1" x14ac:dyDescent="0.3"/>
    <row r="896" ht="12.6" customHeight="1" x14ac:dyDescent="0.3"/>
    <row r="897" ht="12.6" customHeight="1" x14ac:dyDescent="0.3"/>
    <row r="898" ht="12.6" customHeight="1" x14ac:dyDescent="0.3"/>
    <row r="899" ht="12.6" customHeight="1" x14ac:dyDescent="0.3"/>
    <row r="900" ht="12.6" customHeight="1" x14ac:dyDescent="0.3"/>
    <row r="901" ht="12.6" customHeight="1" x14ac:dyDescent="0.3"/>
    <row r="902" ht="12.6" customHeight="1" x14ac:dyDescent="0.3"/>
    <row r="903" ht="12.6" customHeight="1" x14ac:dyDescent="0.3"/>
    <row r="904" ht="12.6" customHeight="1" x14ac:dyDescent="0.3"/>
    <row r="905" ht="12.6" customHeight="1" x14ac:dyDescent="0.3"/>
    <row r="906" ht="12.6" customHeight="1" x14ac:dyDescent="0.3"/>
    <row r="907" ht="12.6" customHeight="1" x14ac:dyDescent="0.3"/>
    <row r="908" ht="12.6" customHeight="1" x14ac:dyDescent="0.3"/>
    <row r="909" ht="12.6" customHeight="1" x14ac:dyDescent="0.3"/>
    <row r="910" ht="12.6" customHeight="1" x14ac:dyDescent="0.3"/>
    <row r="911" ht="12.6" customHeight="1" x14ac:dyDescent="0.3"/>
    <row r="912" ht="12.6" customHeight="1" x14ac:dyDescent="0.3"/>
    <row r="913" ht="12.6" customHeight="1" x14ac:dyDescent="0.3"/>
    <row r="914" ht="12.6" customHeight="1" x14ac:dyDescent="0.3"/>
    <row r="915" ht="12.6" customHeight="1" x14ac:dyDescent="0.3"/>
    <row r="916" ht="12.6" customHeight="1" x14ac:dyDescent="0.3"/>
    <row r="917" ht="12.6" customHeight="1" x14ac:dyDescent="0.3"/>
    <row r="918" ht="12.6" customHeight="1" x14ac:dyDescent="0.3"/>
    <row r="919" ht="12.6" customHeight="1" x14ac:dyDescent="0.3"/>
    <row r="920" ht="12.6" customHeight="1" x14ac:dyDescent="0.3"/>
    <row r="921" ht="12.6" customHeight="1" x14ac:dyDescent="0.3"/>
    <row r="922" ht="12.6" customHeight="1" x14ac:dyDescent="0.3"/>
    <row r="923" ht="12.6" customHeight="1" x14ac:dyDescent="0.3"/>
    <row r="924" ht="12.6" customHeight="1" x14ac:dyDescent="0.3"/>
    <row r="925" ht="12.6" customHeight="1" x14ac:dyDescent="0.3"/>
    <row r="926" ht="12.6" customHeight="1" x14ac:dyDescent="0.3"/>
    <row r="927" ht="12.6" customHeight="1" x14ac:dyDescent="0.3"/>
    <row r="928" ht="12.6" customHeight="1" x14ac:dyDescent="0.3"/>
    <row r="929" ht="12.6" customHeight="1" x14ac:dyDescent="0.3"/>
    <row r="930" ht="12.6" customHeight="1" x14ac:dyDescent="0.3"/>
    <row r="931" ht="12.6" customHeight="1" x14ac:dyDescent="0.3"/>
    <row r="932" ht="12.6" customHeight="1" x14ac:dyDescent="0.3"/>
    <row r="933" ht="12.6" customHeight="1" x14ac:dyDescent="0.3"/>
    <row r="934" ht="12.6" customHeight="1" x14ac:dyDescent="0.3"/>
    <row r="935" ht="12.6" customHeight="1" x14ac:dyDescent="0.3"/>
    <row r="936" ht="12.6" customHeight="1" x14ac:dyDescent="0.3"/>
    <row r="937" ht="12.6" customHeight="1" x14ac:dyDescent="0.3"/>
    <row r="938" ht="12.6" customHeight="1" x14ac:dyDescent="0.3"/>
    <row r="939" ht="12.6" customHeight="1" x14ac:dyDescent="0.3"/>
    <row r="940" ht="12.6" customHeight="1" x14ac:dyDescent="0.3"/>
    <row r="941" ht="12.6" customHeight="1" x14ac:dyDescent="0.3"/>
    <row r="942" ht="12.6" customHeight="1" x14ac:dyDescent="0.3"/>
    <row r="943" ht="12.6" customHeight="1" x14ac:dyDescent="0.3"/>
    <row r="944" ht="12.6" customHeight="1" x14ac:dyDescent="0.3"/>
    <row r="945" ht="12.6" customHeight="1" x14ac:dyDescent="0.3"/>
    <row r="946" ht="12.6" customHeight="1" x14ac:dyDescent="0.3"/>
    <row r="947" ht="12.6" customHeight="1" x14ac:dyDescent="0.3"/>
    <row r="948" ht="12.6" customHeight="1" x14ac:dyDescent="0.3"/>
    <row r="949" ht="12.6" customHeight="1" x14ac:dyDescent="0.3"/>
    <row r="950" ht="12.6" customHeight="1" x14ac:dyDescent="0.3"/>
    <row r="951" ht="12.6" customHeight="1" x14ac:dyDescent="0.3"/>
    <row r="952" ht="12.6" customHeight="1" x14ac:dyDescent="0.3"/>
    <row r="953" ht="12.6" customHeight="1" x14ac:dyDescent="0.3"/>
    <row r="954" ht="12.6" customHeight="1" x14ac:dyDescent="0.3"/>
    <row r="955" ht="12.6" customHeight="1" x14ac:dyDescent="0.3"/>
    <row r="956" ht="12.6" customHeight="1" x14ac:dyDescent="0.3"/>
    <row r="957" ht="12.6" customHeight="1" x14ac:dyDescent="0.3"/>
    <row r="958" ht="12.6" customHeight="1" x14ac:dyDescent="0.3"/>
    <row r="959" ht="12.6" customHeight="1" x14ac:dyDescent="0.3"/>
    <row r="960" ht="12.6" customHeight="1" x14ac:dyDescent="0.3"/>
    <row r="961" ht="12.6" customHeight="1" x14ac:dyDescent="0.3"/>
    <row r="962" ht="12.6" customHeight="1" x14ac:dyDescent="0.3"/>
    <row r="963" ht="12.6" customHeight="1" x14ac:dyDescent="0.3"/>
    <row r="964" ht="12.6" customHeight="1" x14ac:dyDescent="0.3"/>
    <row r="965" ht="12.6" customHeight="1" x14ac:dyDescent="0.3"/>
    <row r="966" ht="12.6" customHeight="1" x14ac:dyDescent="0.3"/>
    <row r="967" ht="12.6" customHeight="1" x14ac:dyDescent="0.3"/>
    <row r="968" ht="12.6" customHeight="1" x14ac:dyDescent="0.3"/>
    <row r="969" ht="12.6" customHeight="1" x14ac:dyDescent="0.3"/>
    <row r="970" ht="12.6" customHeight="1" x14ac:dyDescent="0.3"/>
    <row r="971" ht="12.6" customHeight="1" x14ac:dyDescent="0.3"/>
    <row r="972" ht="12.6" customHeight="1" x14ac:dyDescent="0.3"/>
    <row r="973" ht="12.6" customHeight="1" x14ac:dyDescent="0.3"/>
    <row r="974" ht="12.6" customHeight="1" x14ac:dyDescent="0.3"/>
    <row r="975" ht="12.6" customHeight="1" x14ac:dyDescent="0.3"/>
    <row r="976" ht="12.6" customHeight="1" x14ac:dyDescent="0.3"/>
    <row r="977" ht="12.6" customHeight="1" x14ac:dyDescent="0.3"/>
    <row r="978" ht="12.6" customHeight="1" x14ac:dyDescent="0.3"/>
    <row r="979" ht="12.6" customHeight="1" x14ac:dyDescent="0.3"/>
    <row r="980" ht="12.6" customHeight="1" x14ac:dyDescent="0.3"/>
    <row r="981" ht="12.6" customHeight="1" x14ac:dyDescent="0.3"/>
    <row r="982" ht="12.6" customHeight="1" x14ac:dyDescent="0.3"/>
    <row r="983" ht="12.6" customHeight="1" x14ac:dyDescent="0.3"/>
    <row r="984" ht="12.6" customHeight="1" x14ac:dyDescent="0.3"/>
    <row r="985" ht="12.6" customHeight="1" x14ac:dyDescent="0.3"/>
    <row r="986" ht="12.6" customHeight="1" x14ac:dyDescent="0.3"/>
    <row r="987" ht="12.6" customHeight="1" x14ac:dyDescent="0.3"/>
    <row r="988" ht="12.6" customHeight="1" x14ac:dyDescent="0.3"/>
    <row r="989" ht="12.6" customHeight="1" x14ac:dyDescent="0.3"/>
    <row r="990" ht="12.6" customHeight="1" x14ac:dyDescent="0.3"/>
    <row r="991" ht="12.6" customHeight="1" x14ac:dyDescent="0.3"/>
    <row r="992" ht="12.6" customHeight="1" x14ac:dyDescent="0.3"/>
    <row r="993" ht="12.6" customHeight="1" x14ac:dyDescent="0.3"/>
    <row r="994" ht="12.6" customHeight="1" x14ac:dyDescent="0.3"/>
    <row r="995" ht="12.6" customHeight="1" x14ac:dyDescent="0.3"/>
    <row r="996" ht="12.6" customHeight="1" x14ac:dyDescent="0.3"/>
    <row r="997" ht="12.6" customHeight="1" x14ac:dyDescent="0.3"/>
    <row r="998" ht="12.6" customHeight="1" x14ac:dyDescent="0.3"/>
    <row r="999" ht="12.6" customHeight="1" x14ac:dyDescent="0.3"/>
    <row r="1000" ht="12.6" customHeight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selection activeCell="B6" sqref="B6"/>
    </sheetView>
  </sheetViews>
  <sheetFormatPr defaultColWidth="14.44140625" defaultRowHeight="14.4" x14ac:dyDescent="0.3"/>
  <cols>
    <col min="1" max="1" width="46" customWidth="1"/>
    <col min="2" max="3" width="16" customWidth="1"/>
    <col min="4" max="4" width="54" customWidth="1"/>
    <col min="5" max="8" width="15" customWidth="1"/>
    <col min="9" max="26" width="8.6640625" customWidth="1"/>
  </cols>
  <sheetData>
    <row r="1" spans="1:8" ht="19.2" customHeight="1" x14ac:dyDescent="0.3">
      <c r="A1" s="1" t="s">
        <v>251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252</v>
      </c>
    </row>
    <row r="4" spans="1:8" x14ac:dyDescent="0.3">
      <c r="A4" s="7" t="s">
        <v>253</v>
      </c>
      <c r="B4" s="10"/>
      <c r="C4" s="10"/>
      <c r="D4" s="10"/>
      <c r="E4" s="10"/>
      <c r="F4" s="10"/>
      <c r="G4" s="10" t="s">
        <v>254</v>
      </c>
      <c r="H4" s="10"/>
    </row>
    <row r="5" spans="1:8" x14ac:dyDescent="0.3">
      <c r="A5" s="6" t="s">
        <v>255</v>
      </c>
      <c r="B5" s="25">
        <f>'2_Pricing'!H11</f>
        <v>178.5</v>
      </c>
      <c r="G5" t="s">
        <v>256</v>
      </c>
      <c r="H5">
        <v>800</v>
      </c>
    </row>
    <row r="6" spans="1:8" x14ac:dyDescent="0.3">
      <c r="A6" s="6" t="s">
        <v>257</v>
      </c>
      <c r="B6" s="34">
        <f>'2_Pricing'!B21</f>
        <v>0.72581699346405237</v>
      </c>
      <c r="G6" t="s">
        <v>258</v>
      </c>
      <c r="H6">
        <v>0.08</v>
      </c>
    </row>
    <row r="7" spans="1:8" x14ac:dyDescent="0.3">
      <c r="A7" s="6" t="s">
        <v>259</v>
      </c>
      <c r="B7" s="13" t="s">
        <v>260</v>
      </c>
      <c r="G7" t="s">
        <v>261</v>
      </c>
      <c r="H7">
        <v>0.25</v>
      </c>
    </row>
    <row r="8" spans="1:8" x14ac:dyDescent="0.3">
      <c r="A8" s="6" t="s">
        <v>262</v>
      </c>
      <c r="B8" s="19">
        <f>IF(B7="SMB",12,IF(B7="Mid",18,24))</f>
        <v>12</v>
      </c>
      <c r="C8" s="3" t="s">
        <v>263</v>
      </c>
      <c r="D8" s="3" t="s">
        <v>264</v>
      </c>
      <c r="G8" t="s">
        <v>265</v>
      </c>
      <c r="H8">
        <v>0.25</v>
      </c>
    </row>
    <row r="9" spans="1:8" x14ac:dyDescent="0.3">
      <c r="A9" s="12" t="s">
        <v>266</v>
      </c>
      <c r="B9" s="35">
        <f>B5*B6*B8</f>
        <v>1554.7</v>
      </c>
      <c r="D9" s="3" t="s">
        <v>267</v>
      </c>
      <c r="G9" t="s">
        <v>268</v>
      </c>
      <c r="H9">
        <f>H5*H6*H7*H8</f>
        <v>4</v>
      </c>
    </row>
    <row r="10" spans="1:8" x14ac:dyDescent="0.3">
      <c r="A10" s="6" t="s">
        <v>269</v>
      </c>
      <c r="B10" s="37">
        <f>B5*12</f>
        <v>2142</v>
      </c>
      <c r="G10" t="s">
        <v>270</v>
      </c>
      <c r="H10">
        <v>240</v>
      </c>
    </row>
    <row r="11" spans="1:8" x14ac:dyDescent="0.3">
      <c r="G11" t="s">
        <v>271</v>
      </c>
      <c r="H11">
        <v>80</v>
      </c>
    </row>
    <row r="12" spans="1:8" x14ac:dyDescent="0.3">
      <c r="A12" s="7" t="s">
        <v>272</v>
      </c>
      <c r="B12" s="10"/>
      <c r="C12" s="10"/>
      <c r="D12" s="10"/>
      <c r="E12" s="10"/>
      <c r="F12" s="10"/>
      <c r="G12" s="10" t="s">
        <v>273</v>
      </c>
      <c r="H12" s="10">
        <f>IF(H9&lt;1,NA(),(H10+H11)/H9)</f>
        <v>80</v>
      </c>
    </row>
    <row r="13" spans="1:8" x14ac:dyDescent="0.3">
      <c r="A13" s="6" t="s">
        <v>274</v>
      </c>
      <c r="B13" s="25">
        <v>500000</v>
      </c>
      <c r="D13" s="3" t="s">
        <v>275</v>
      </c>
      <c r="G13" t="s">
        <v>276</v>
      </c>
      <c r="H13">
        <f>IFERROR(B9/H12,0)</f>
        <v>19.43375</v>
      </c>
    </row>
    <row r="14" spans="1:8" x14ac:dyDescent="0.3">
      <c r="A14" s="6" t="s">
        <v>277</v>
      </c>
      <c r="B14" s="15">
        <v>250</v>
      </c>
      <c r="C14" s="3" t="s">
        <v>278</v>
      </c>
      <c r="G14" t="s">
        <v>279</v>
      </c>
      <c r="H14" t="str">
        <f>IFERROR(IF(H12&lt;=B9,"PASS hypothesis","FAIL hypothesis"),"NO DATA")</f>
        <v>PASS hypothesis</v>
      </c>
    </row>
    <row r="15" spans="1:8" x14ac:dyDescent="0.3">
      <c r="A15" s="6" t="s">
        <v>280</v>
      </c>
      <c r="B15" s="19">
        <f>IF(B10=0,0,B13/B10)</f>
        <v>233.4267040149393</v>
      </c>
      <c r="G15" t="s">
        <v>281</v>
      </c>
    </row>
    <row r="16" spans="1:8" x14ac:dyDescent="0.3">
      <c r="A16" s="12" t="s">
        <v>282</v>
      </c>
      <c r="B16" s="38">
        <f>IF(B14=0,0,B15/B14)</f>
        <v>0.93370681605975725</v>
      </c>
      <c r="C16" s="3" t="s">
        <v>283</v>
      </c>
      <c r="G16" t="s">
        <v>284</v>
      </c>
    </row>
    <row r="17" spans="1:8" x14ac:dyDescent="0.3">
      <c r="A17" s="6" t="s">
        <v>285</v>
      </c>
      <c r="B17" s="8" t="str">
        <f>IF(B16&lt;=1,"KHẢ THI về mặt số học","BẤT KHẢ THI — ACV quá thấp để nuôi sales rep")</f>
        <v>KHẢ THI về mặt số học</v>
      </c>
      <c r="D17" t="s">
        <v>286</v>
      </c>
      <c r="G17" t="s">
        <v>287</v>
      </c>
    </row>
    <row r="18" spans="1:8" x14ac:dyDescent="0.3">
      <c r="G18" t="s">
        <v>288</v>
      </c>
    </row>
    <row r="19" spans="1:8" x14ac:dyDescent="0.3">
      <c r="A19" s="7" t="s">
        <v>289</v>
      </c>
      <c r="B19" s="10"/>
      <c r="C19" s="10"/>
      <c r="D19" s="10"/>
      <c r="E19" s="10"/>
      <c r="F19" s="10"/>
      <c r="G19" s="10"/>
      <c r="H19" s="10"/>
    </row>
    <row r="20" spans="1:8" x14ac:dyDescent="0.3">
      <c r="A20" s="6" t="s">
        <v>290</v>
      </c>
      <c r="B20" s="25">
        <v>6300</v>
      </c>
      <c r="D20" s="3" t="s">
        <v>291</v>
      </c>
    </row>
    <row r="21" spans="1:8" ht="12.6" customHeight="1" x14ac:dyDescent="0.3">
      <c r="A21" s="6" t="s">
        <v>292</v>
      </c>
      <c r="B21" s="16">
        <v>0.25</v>
      </c>
    </row>
    <row r="22" spans="1:8" ht="12.6" customHeight="1" x14ac:dyDescent="0.3">
      <c r="A22" s="6" t="s">
        <v>293</v>
      </c>
      <c r="B22" s="37">
        <f>IF(B21=0,0,B20/B21)</f>
        <v>25200</v>
      </c>
    </row>
    <row r="23" spans="1:8" ht="12.6" customHeight="1" x14ac:dyDescent="0.3">
      <c r="A23" s="12" t="s">
        <v>294</v>
      </c>
      <c r="B23" s="39">
        <f>IF(B9=0,0,B22/B9)</f>
        <v>16.208914903196757</v>
      </c>
      <c r="D23" s="3" t="s">
        <v>295</v>
      </c>
    </row>
    <row r="24" spans="1:8" ht="12.6" customHeight="1" x14ac:dyDescent="0.3">
      <c r="A24" s="6" t="s">
        <v>197</v>
      </c>
      <c r="B24" s="8" t="str">
        <f>IF(B23&lt;=1,"Motion có sales KHẢ THI",IF(B23&lt;=3,"Căng — cần tăng giá hoặc giảm chi phí bán hàng","KHÔNG KHẢ THI — đi PLG hoặc Partner-Led"))</f>
        <v>KHÔNG KHẢ THI — đi PLG hoặc Partner-Led</v>
      </c>
    </row>
    <row r="25" spans="1:8" ht="12.6" customHeight="1" x14ac:dyDescent="0.3"/>
    <row r="26" spans="1:8" ht="12.6" customHeight="1" x14ac:dyDescent="0.3">
      <c r="A26" s="7" t="s">
        <v>296</v>
      </c>
      <c r="B26" s="10"/>
      <c r="C26" s="10"/>
      <c r="D26" s="10"/>
      <c r="E26" s="10"/>
      <c r="F26" s="10"/>
      <c r="G26" s="10"/>
      <c r="H26" s="10"/>
    </row>
    <row r="27" spans="1:8" ht="12.6" customHeight="1" x14ac:dyDescent="0.3">
      <c r="A27" s="27" t="s">
        <v>297</v>
      </c>
      <c r="B27" s="27" t="s">
        <v>298</v>
      </c>
      <c r="C27" s="27" t="s">
        <v>299</v>
      </c>
      <c r="D27" s="27" t="s">
        <v>300</v>
      </c>
    </row>
    <row r="28" spans="1:8" ht="12.6" customHeight="1" x14ac:dyDescent="0.3">
      <c r="A28" s="6" t="s">
        <v>301</v>
      </c>
      <c r="B28" s="13">
        <v>4</v>
      </c>
      <c r="C28" s="13">
        <v>1</v>
      </c>
      <c r="D28" s="13">
        <v>2</v>
      </c>
    </row>
    <row r="29" spans="1:8" ht="12.6" customHeight="1" x14ac:dyDescent="0.3">
      <c r="A29" s="6" t="s">
        <v>302</v>
      </c>
      <c r="B29" s="13">
        <v>3</v>
      </c>
      <c r="C29" s="13">
        <v>3</v>
      </c>
      <c r="D29" s="13">
        <v>1</v>
      </c>
    </row>
    <row r="30" spans="1:8" ht="12.6" customHeight="1" x14ac:dyDescent="0.3">
      <c r="A30" s="6" t="s">
        <v>303</v>
      </c>
      <c r="B30" s="13">
        <v>3</v>
      </c>
      <c r="C30" s="13">
        <v>2</v>
      </c>
      <c r="D30" s="13">
        <v>1</v>
      </c>
    </row>
    <row r="31" spans="1:8" ht="12.6" customHeight="1" x14ac:dyDescent="0.3">
      <c r="A31" s="6" t="s">
        <v>304</v>
      </c>
      <c r="B31" s="13">
        <v>3</v>
      </c>
      <c r="C31" s="13">
        <v>2</v>
      </c>
      <c r="D31" s="13">
        <v>1</v>
      </c>
    </row>
    <row r="32" spans="1:8" ht="12.6" customHeight="1" x14ac:dyDescent="0.3">
      <c r="A32" s="6" t="s">
        <v>305</v>
      </c>
      <c r="B32" s="13">
        <v>4</v>
      </c>
      <c r="C32" s="13">
        <v>4</v>
      </c>
      <c r="D32" s="13">
        <v>2</v>
      </c>
    </row>
    <row r="33" spans="1:8" ht="12.6" customHeight="1" x14ac:dyDescent="0.3">
      <c r="A33" s="6" t="s">
        <v>306</v>
      </c>
      <c r="B33" s="13">
        <v>4</v>
      </c>
      <c r="C33" s="13">
        <v>3</v>
      </c>
      <c r="D33" s="13">
        <v>2</v>
      </c>
    </row>
    <row r="34" spans="1:8" ht="12.6" customHeight="1" x14ac:dyDescent="0.3">
      <c r="A34" s="12" t="s">
        <v>307</v>
      </c>
      <c r="B34" s="26">
        <f t="shared" ref="B34:D34" si="0">SUM(B28:B33)</f>
        <v>21</v>
      </c>
      <c r="C34" s="26">
        <f t="shared" si="0"/>
        <v>15</v>
      </c>
      <c r="D34" s="26">
        <f t="shared" si="0"/>
        <v>9</v>
      </c>
    </row>
    <row r="35" spans="1:8" ht="12.6" customHeight="1" x14ac:dyDescent="0.3">
      <c r="A35" s="12" t="s">
        <v>308</v>
      </c>
      <c r="B35" s="26" t="str">
        <f>IF(AND(B34&gt;=C34,B34&gt;=D34),"PLG",IF(C34&gt;=D34,"Sales-Led","Partner-Led"))</f>
        <v>PLG</v>
      </c>
    </row>
    <row r="36" spans="1:8" ht="12.6" customHeight="1" x14ac:dyDescent="0.3"/>
    <row r="37" spans="1:8" ht="12.6" customHeight="1" x14ac:dyDescent="0.3">
      <c r="A37" s="7" t="s">
        <v>309</v>
      </c>
      <c r="B37" s="10"/>
      <c r="C37" s="10"/>
      <c r="D37" s="10"/>
      <c r="E37" s="10"/>
      <c r="F37" s="10"/>
      <c r="G37" s="10"/>
      <c r="H37" s="10"/>
    </row>
    <row r="38" spans="1:8" ht="12.6" customHeight="1" x14ac:dyDescent="0.3">
      <c r="A38" s="6" t="s">
        <v>310</v>
      </c>
      <c r="B38" s="5" t="s">
        <v>298</v>
      </c>
      <c r="D38" s="3" t="s">
        <v>311</v>
      </c>
    </row>
    <row r="39" spans="1:8" ht="12.6" customHeight="1" x14ac:dyDescent="0.3">
      <c r="A39" s="6" t="s">
        <v>312</v>
      </c>
      <c r="B39" s="5" t="s">
        <v>313</v>
      </c>
      <c r="D39" s="3" t="s">
        <v>314</v>
      </c>
    </row>
    <row r="40" spans="1:8" ht="12.6" customHeight="1" x14ac:dyDescent="0.3">
      <c r="A40" s="6" t="s">
        <v>315</v>
      </c>
      <c r="B40" s="5" t="s">
        <v>316</v>
      </c>
    </row>
    <row r="41" spans="1:8" ht="12.6" customHeight="1" x14ac:dyDescent="0.3">
      <c r="A41" s="6" t="s">
        <v>317</v>
      </c>
      <c r="B41" s="5" t="s">
        <v>318</v>
      </c>
    </row>
    <row r="42" spans="1:8" ht="12.6" customHeight="1" x14ac:dyDescent="0.3">
      <c r="A42" s="6" t="s">
        <v>319</v>
      </c>
      <c r="B42" s="5" t="s">
        <v>320</v>
      </c>
      <c r="D42" s="3" t="s">
        <v>321</v>
      </c>
    </row>
    <row r="43" spans="1:8" ht="12.6" customHeight="1" x14ac:dyDescent="0.3"/>
    <row r="44" spans="1:8" ht="12.6" customHeight="1" x14ac:dyDescent="0.3"/>
    <row r="45" spans="1:8" ht="12.6" customHeight="1" x14ac:dyDescent="0.3"/>
    <row r="46" spans="1:8" ht="12.6" customHeight="1" x14ac:dyDescent="0.3"/>
    <row r="47" spans="1:8" ht="12.6" customHeight="1" x14ac:dyDescent="0.3"/>
    <row r="48" spans="1:8" ht="12.6" customHeight="1" x14ac:dyDescent="0.3"/>
    <row r="49" ht="12.6" customHeight="1" x14ac:dyDescent="0.3"/>
    <row r="50" ht="12.6" customHeight="1" x14ac:dyDescent="0.3"/>
    <row r="51" ht="12.6" customHeight="1" x14ac:dyDescent="0.3"/>
    <row r="52" ht="12.6" customHeight="1" x14ac:dyDescent="0.3"/>
    <row r="53" ht="12.6" customHeight="1" x14ac:dyDescent="0.3"/>
    <row r="54" ht="12.6" customHeight="1" x14ac:dyDescent="0.3"/>
    <row r="55" ht="12.6" customHeight="1" x14ac:dyDescent="0.3"/>
    <row r="56" ht="12.6" customHeight="1" x14ac:dyDescent="0.3"/>
    <row r="57" ht="12.6" customHeight="1" x14ac:dyDescent="0.3"/>
    <row r="58" ht="12.6" customHeight="1" x14ac:dyDescent="0.3"/>
    <row r="59" ht="12.6" customHeight="1" x14ac:dyDescent="0.3"/>
    <row r="60" ht="12.6" customHeight="1" x14ac:dyDescent="0.3"/>
    <row r="61" ht="12.6" customHeight="1" x14ac:dyDescent="0.3"/>
    <row r="62" ht="12.6" customHeight="1" x14ac:dyDescent="0.3"/>
    <row r="63" ht="12.6" customHeight="1" x14ac:dyDescent="0.3"/>
    <row r="64" ht="12.6" customHeight="1" x14ac:dyDescent="0.3"/>
    <row r="65" ht="12.6" customHeight="1" x14ac:dyDescent="0.3"/>
    <row r="66" ht="12.6" customHeight="1" x14ac:dyDescent="0.3"/>
    <row r="67" ht="12.6" customHeight="1" x14ac:dyDescent="0.3"/>
    <row r="68" ht="12.6" customHeight="1" x14ac:dyDescent="0.3"/>
    <row r="69" ht="12.6" customHeight="1" x14ac:dyDescent="0.3"/>
    <row r="70" ht="12.6" customHeight="1" x14ac:dyDescent="0.3"/>
    <row r="71" ht="12.6" customHeight="1" x14ac:dyDescent="0.3"/>
    <row r="72" ht="12.6" customHeight="1" x14ac:dyDescent="0.3"/>
    <row r="73" ht="12.6" customHeight="1" x14ac:dyDescent="0.3"/>
    <row r="74" ht="12.6" customHeight="1" x14ac:dyDescent="0.3"/>
    <row r="75" ht="12.6" customHeight="1" x14ac:dyDescent="0.3"/>
    <row r="76" ht="12.6" customHeight="1" x14ac:dyDescent="0.3"/>
    <row r="77" ht="12.6" customHeight="1" x14ac:dyDescent="0.3"/>
    <row r="78" ht="12.6" customHeight="1" x14ac:dyDescent="0.3"/>
    <row r="79" ht="12.6" customHeight="1" x14ac:dyDescent="0.3"/>
    <row r="80" ht="12.6" customHeight="1" x14ac:dyDescent="0.3"/>
    <row r="81" ht="12.6" customHeight="1" x14ac:dyDescent="0.3"/>
    <row r="82" ht="12.6" customHeight="1" x14ac:dyDescent="0.3"/>
    <row r="83" ht="12.6" customHeight="1" x14ac:dyDescent="0.3"/>
    <row r="84" ht="12.6" customHeight="1" x14ac:dyDescent="0.3"/>
    <row r="85" ht="12.6" customHeight="1" x14ac:dyDescent="0.3"/>
    <row r="86" ht="12.6" customHeight="1" x14ac:dyDescent="0.3"/>
    <row r="87" ht="12.6" customHeight="1" x14ac:dyDescent="0.3"/>
    <row r="88" ht="12.6" customHeight="1" x14ac:dyDescent="0.3"/>
    <row r="89" ht="12.6" customHeight="1" x14ac:dyDescent="0.3"/>
    <row r="90" ht="12.6" customHeight="1" x14ac:dyDescent="0.3"/>
    <row r="91" ht="12.6" customHeight="1" x14ac:dyDescent="0.3"/>
    <row r="92" ht="12.6" customHeight="1" x14ac:dyDescent="0.3"/>
    <row r="93" ht="12.6" customHeight="1" x14ac:dyDescent="0.3"/>
    <row r="94" ht="12.6" customHeight="1" x14ac:dyDescent="0.3"/>
    <row r="95" ht="12.6" customHeight="1" x14ac:dyDescent="0.3"/>
    <row r="96" ht="12.6" customHeight="1" x14ac:dyDescent="0.3"/>
    <row r="97" ht="12.6" customHeight="1" x14ac:dyDescent="0.3"/>
    <row r="98" ht="12.6" customHeight="1" x14ac:dyDescent="0.3"/>
    <row r="99" ht="12.6" customHeight="1" x14ac:dyDescent="0.3"/>
    <row r="100" ht="12.6" customHeight="1" x14ac:dyDescent="0.3"/>
    <row r="101" ht="12.6" customHeight="1" x14ac:dyDescent="0.3"/>
    <row r="102" ht="12.6" customHeight="1" x14ac:dyDescent="0.3"/>
    <row r="103" ht="12.6" customHeight="1" x14ac:dyDescent="0.3"/>
    <row r="104" ht="12.6" customHeight="1" x14ac:dyDescent="0.3"/>
    <row r="105" ht="12.6" customHeight="1" x14ac:dyDescent="0.3"/>
    <row r="106" ht="12.6" customHeight="1" x14ac:dyDescent="0.3"/>
    <row r="107" ht="12.6" customHeight="1" x14ac:dyDescent="0.3"/>
    <row r="108" ht="12.6" customHeight="1" x14ac:dyDescent="0.3"/>
    <row r="109" ht="12.6" customHeight="1" x14ac:dyDescent="0.3"/>
    <row r="110" ht="12.6" customHeight="1" x14ac:dyDescent="0.3"/>
    <row r="111" ht="12.6" customHeight="1" x14ac:dyDescent="0.3"/>
    <row r="112" ht="12.6" customHeight="1" x14ac:dyDescent="0.3"/>
    <row r="113" ht="12.6" customHeight="1" x14ac:dyDescent="0.3"/>
    <row r="114" ht="12.6" customHeight="1" x14ac:dyDescent="0.3"/>
    <row r="115" ht="12.6" customHeight="1" x14ac:dyDescent="0.3"/>
    <row r="116" ht="12.6" customHeight="1" x14ac:dyDescent="0.3"/>
    <row r="117" ht="12.6" customHeight="1" x14ac:dyDescent="0.3"/>
    <row r="118" ht="12.6" customHeight="1" x14ac:dyDescent="0.3"/>
    <row r="119" ht="12.6" customHeight="1" x14ac:dyDescent="0.3"/>
    <row r="120" ht="12.6" customHeight="1" x14ac:dyDescent="0.3"/>
    <row r="121" ht="12.6" customHeight="1" x14ac:dyDescent="0.3"/>
    <row r="122" ht="12.6" customHeight="1" x14ac:dyDescent="0.3"/>
    <row r="123" ht="12.6" customHeight="1" x14ac:dyDescent="0.3"/>
    <row r="124" ht="12.6" customHeight="1" x14ac:dyDescent="0.3"/>
    <row r="125" ht="12.6" customHeight="1" x14ac:dyDescent="0.3"/>
    <row r="126" ht="12.6" customHeight="1" x14ac:dyDescent="0.3"/>
    <row r="127" ht="12.6" customHeight="1" x14ac:dyDescent="0.3"/>
    <row r="128" ht="12.6" customHeight="1" x14ac:dyDescent="0.3"/>
    <row r="129" ht="12.6" customHeight="1" x14ac:dyDescent="0.3"/>
    <row r="130" ht="12.6" customHeight="1" x14ac:dyDescent="0.3"/>
    <row r="131" ht="12.6" customHeight="1" x14ac:dyDescent="0.3"/>
    <row r="132" ht="12.6" customHeight="1" x14ac:dyDescent="0.3"/>
    <row r="133" ht="12.6" customHeight="1" x14ac:dyDescent="0.3"/>
    <row r="134" ht="12.6" customHeight="1" x14ac:dyDescent="0.3"/>
    <row r="135" ht="12.6" customHeight="1" x14ac:dyDescent="0.3"/>
    <row r="136" ht="12.6" customHeight="1" x14ac:dyDescent="0.3"/>
    <row r="137" ht="12.6" customHeight="1" x14ac:dyDescent="0.3"/>
    <row r="138" ht="12.6" customHeight="1" x14ac:dyDescent="0.3"/>
    <row r="139" ht="12.6" customHeight="1" x14ac:dyDescent="0.3"/>
    <row r="140" ht="12.6" customHeight="1" x14ac:dyDescent="0.3"/>
    <row r="141" ht="12.6" customHeight="1" x14ac:dyDescent="0.3"/>
    <row r="142" ht="12.6" customHeight="1" x14ac:dyDescent="0.3"/>
    <row r="143" ht="12.6" customHeight="1" x14ac:dyDescent="0.3"/>
    <row r="144" ht="12.6" customHeight="1" x14ac:dyDescent="0.3"/>
    <row r="145" ht="12.6" customHeight="1" x14ac:dyDescent="0.3"/>
    <row r="146" ht="12.6" customHeight="1" x14ac:dyDescent="0.3"/>
    <row r="147" ht="12.6" customHeight="1" x14ac:dyDescent="0.3"/>
    <row r="148" ht="12.6" customHeight="1" x14ac:dyDescent="0.3"/>
    <row r="149" ht="12.6" customHeight="1" x14ac:dyDescent="0.3"/>
    <row r="150" ht="12.6" customHeight="1" x14ac:dyDescent="0.3"/>
    <row r="151" ht="12.6" customHeight="1" x14ac:dyDescent="0.3"/>
    <row r="152" ht="12.6" customHeight="1" x14ac:dyDescent="0.3"/>
    <row r="153" ht="12.6" customHeight="1" x14ac:dyDescent="0.3"/>
    <row r="154" ht="12.6" customHeight="1" x14ac:dyDescent="0.3"/>
    <row r="155" ht="12.6" customHeight="1" x14ac:dyDescent="0.3"/>
    <row r="156" ht="12.6" customHeight="1" x14ac:dyDescent="0.3"/>
    <row r="157" ht="12.6" customHeight="1" x14ac:dyDescent="0.3"/>
    <row r="158" ht="12.6" customHeight="1" x14ac:dyDescent="0.3"/>
    <row r="159" ht="12.6" customHeight="1" x14ac:dyDescent="0.3"/>
    <row r="160" ht="12.6" customHeight="1" x14ac:dyDescent="0.3"/>
    <row r="161" ht="12.6" customHeight="1" x14ac:dyDescent="0.3"/>
    <row r="162" ht="12.6" customHeight="1" x14ac:dyDescent="0.3"/>
    <row r="163" ht="12.6" customHeight="1" x14ac:dyDescent="0.3"/>
    <row r="164" ht="12.6" customHeight="1" x14ac:dyDescent="0.3"/>
    <row r="165" ht="12.6" customHeight="1" x14ac:dyDescent="0.3"/>
    <row r="166" ht="12.6" customHeight="1" x14ac:dyDescent="0.3"/>
    <row r="167" ht="12.6" customHeight="1" x14ac:dyDescent="0.3"/>
    <row r="168" ht="12.6" customHeight="1" x14ac:dyDescent="0.3"/>
    <row r="169" ht="12.6" customHeight="1" x14ac:dyDescent="0.3"/>
    <row r="170" ht="12.6" customHeight="1" x14ac:dyDescent="0.3"/>
    <row r="171" ht="12.6" customHeight="1" x14ac:dyDescent="0.3"/>
    <row r="172" ht="12.6" customHeight="1" x14ac:dyDescent="0.3"/>
    <row r="173" ht="12.6" customHeight="1" x14ac:dyDescent="0.3"/>
    <row r="174" ht="12.6" customHeight="1" x14ac:dyDescent="0.3"/>
    <row r="175" ht="12.6" customHeight="1" x14ac:dyDescent="0.3"/>
    <row r="176" ht="12.6" customHeight="1" x14ac:dyDescent="0.3"/>
    <row r="177" ht="12.6" customHeight="1" x14ac:dyDescent="0.3"/>
    <row r="178" ht="12.6" customHeight="1" x14ac:dyDescent="0.3"/>
    <row r="179" ht="12.6" customHeight="1" x14ac:dyDescent="0.3"/>
    <row r="180" ht="12.6" customHeight="1" x14ac:dyDescent="0.3"/>
    <row r="181" ht="12.6" customHeight="1" x14ac:dyDescent="0.3"/>
    <row r="182" ht="12.6" customHeight="1" x14ac:dyDescent="0.3"/>
    <row r="183" ht="12.6" customHeight="1" x14ac:dyDescent="0.3"/>
    <row r="184" ht="12.6" customHeight="1" x14ac:dyDescent="0.3"/>
    <row r="185" ht="12.6" customHeight="1" x14ac:dyDescent="0.3"/>
    <row r="186" ht="12.6" customHeight="1" x14ac:dyDescent="0.3"/>
    <row r="187" ht="12.6" customHeight="1" x14ac:dyDescent="0.3"/>
    <row r="188" ht="12.6" customHeight="1" x14ac:dyDescent="0.3"/>
    <row r="189" ht="12.6" customHeight="1" x14ac:dyDescent="0.3"/>
    <row r="190" ht="12.6" customHeight="1" x14ac:dyDescent="0.3"/>
    <row r="191" ht="12.6" customHeight="1" x14ac:dyDescent="0.3"/>
    <row r="192" ht="12.6" customHeight="1" x14ac:dyDescent="0.3"/>
    <row r="193" ht="12.6" customHeight="1" x14ac:dyDescent="0.3"/>
    <row r="194" ht="12.6" customHeight="1" x14ac:dyDescent="0.3"/>
    <row r="195" ht="12.6" customHeight="1" x14ac:dyDescent="0.3"/>
    <row r="196" ht="12.6" customHeight="1" x14ac:dyDescent="0.3"/>
    <row r="197" ht="12.6" customHeight="1" x14ac:dyDescent="0.3"/>
    <row r="198" ht="12.6" customHeight="1" x14ac:dyDescent="0.3"/>
    <row r="199" ht="12.6" customHeight="1" x14ac:dyDescent="0.3"/>
    <row r="200" ht="12.6" customHeight="1" x14ac:dyDescent="0.3"/>
    <row r="201" ht="12.6" customHeight="1" x14ac:dyDescent="0.3"/>
    <row r="202" ht="12.6" customHeight="1" x14ac:dyDescent="0.3"/>
    <row r="203" ht="12.6" customHeight="1" x14ac:dyDescent="0.3"/>
    <row r="204" ht="12.6" customHeight="1" x14ac:dyDescent="0.3"/>
    <row r="205" ht="12.6" customHeight="1" x14ac:dyDescent="0.3"/>
    <row r="206" ht="12.6" customHeight="1" x14ac:dyDescent="0.3"/>
    <row r="207" ht="12.6" customHeight="1" x14ac:dyDescent="0.3"/>
    <row r="208" ht="12.6" customHeight="1" x14ac:dyDescent="0.3"/>
    <row r="209" ht="12.6" customHeight="1" x14ac:dyDescent="0.3"/>
    <row r="210" ht="12.6" customHeight="1" x14ac:dyDescent="0.3"/>
    <row r="211" ht="12.6" customHeight="1" x14ac:dyDescent="0.3"/>
    <row r="212" ht="12.6" customHeight="1" x14ac:dyDescent="0.3"/>
    <row r="213" ht="12.6" customHeight="1" x14ac:dyDescent="0.3"/>
    <row r="214" ht="12.6" customHeight="1" x14ac:dyDescent="0.3"/>
    <row r="215" ht="12.6" customHeight="1" x14ac:dyDescent="0.3"/>
    <row r="216" ht="12.6" customHeight="1" x14ac:dyDescent="0.3"/>
    <row r="217" ht="12.6" customHeight="1" x14ac:dyDescent="0.3"/>
    <row r="218" ht="12.6" customHeight="1" x14ac:dyDescent="0.3"/>
    <row r="219" ht="12.6" customHeight="1" x14ac:dyDescent="0.3"/>
    <row r="220" ht="12.6" customHeight="1" x14ac:dyDescent="0.3"/>
    <row r="221" ht="12.6" customHeight="1" x14ac:dyDescent="0.3"/>
    <row r="222" ht="12.6" customHeight="1" x14ac:dyDescent="0.3"/>
    <row r="223" ht="12.6" customHeight="1" x14ac:dyDescent="0.3"/>
    <row r="224" ht="12.6" customHeight="1" x14ac:dyDescent="0.3"/>
    <row r="225" ht="12.6" customHeight="1" x14ac:dyDescent="0.3"/>
    <row r="226" ht="12.6" customHeight="1" x14ac:dyDescent="0.3"/>
    <row r="227" ht="12.6" customHeight="1" x14ac:dyDescent="0.3"/>
    <row r="228" ht="12.6" customHeight="1" x14ac:dyDescent="0.3"/>
    <row r="229" ht="12.6" customHeight="1" x14ac:dyDescent="0.3"/>
    <row r="230" ht="12.6" customHeight="1" x14ac:dyDescent="0.3"/>
    <row r="231" ht="12.6" customHeight="1" x14ac:dyDescent="0.3"/>
    <row r="232" ht="12.6" customHeight="1" x14ac:dyDescent="0.3"/>
    <row r="233" ht="12.6" customHeight="1" x14ac:dyDescent="0.3"/>
    <row r="234" ht="12.6" customHeight="1" x14ac:dyDescent="0.3"/>
    <row r="235" ht="12.6" customHeight="1" x14ac:dyDescent="0.3"/>
    <row r="236" ht="12.6" customHeight="1" x14ac:dyDescent="0.3"/>
    <row r="237" ht="12.6" customHeight="1" x14ac:dyDescent="0.3"/>
    <row r="238" ht="12.6" customHeight="1" x14ac:dyDescent="0.3"/>
    <row r="239" ht="12.6" customHeight="1" x14ac:dyDescent="0.3"/>
    <row r="240" ht="12.6" customHeight="1" x14ac:dyDescent="0.3"/>
    <row r="241" ht="12.6" customHeight="1" x14ac:dyDescent="0.3"/>
    <row r="242" ht="12.6" customHeight="1" x14ac:dyDescent="0.3"/>
    <row r="243" ht="12.6" customHeight="1" x14ac:dyDescent="0.3"/>
    <row r="244" ht="12.6" customHeight="1" x14ac:dyDescent="0.3"/>
    <row r="245" ht="12.6" customHeight="1" x14ac:dyDescent="0.3"/>
    <row r="246" ht="12.6" customHeight="1" x14ac:dyDescent="0.3"/>
    <row r="247" ht="12.6" customHeight="1" x14ac:dyDescent="0.3"/>
    <row r="248" ht="12.6" customHeight="1" x14ac:dyDescent="0.3"/>
    <row r="249" ht="12.6" customHeight="1" x14ac:dyDescent="0.3"/>
    <row r="250" ht="12.6" customHeight="1" x14ac:dyDescent="0.3"/>
    <row r="251" ht="12.6" customHeight="1" x14ac:dyDescent="0.3"/>
    <row r="252" ht="12.6" customHeight="1" x14ac:dyDescent="0.3"/>
    <row r="253" ht="12.6" customHeight="1" x14ac:dyDescent="0.3"/>
    <row r="254" ht="12.6" customHeight="1" x14ac:dyDescent="0.3"/>
    <row r="255" ht="12.6" customHeight="1" x14ac:dyDescent="0.3"/>
    <row r="256" ht="12.6" customHeight="1" x14ac:dyDescent="0.3"/>
    <row r="257" ht="12.6" customHeight="1" x14ac:dyDescent="0.3"/>
    <row r="258" ht="12.6" customHeight="1" x14ac:dyDescent="0.3"/>
    <row r="259" ht="12.6" customHeight="1" x14ac:dyDescent="0.3"/>
    <row r="260" ht="12.6" customHeight="1" x14ac:dyDescent="0.3"/>
    <row r="261" ht="12.6" customHeight="1" x14ac:dyDescent="0.3"/>
    <row r="262" ht="12.6" customHeight="1" x14ac:dyDescent="0.3"/>
    <row r="263" ht="12.6" customHeight="1" x14ac:dyDescent="0.3"/>
    <row r="264" ht="12.6" customHeight="1" x14ac:dyDescent="0.3"/>
    <row r="265" ht="12.6" customHeight="1" x14ac:dyDescent="0.3"/>
    <row r="266" ht="12.6" customHeight="1" x14ac:dyDescent="0.3"/>
    <row r="267" ht="12.6" customHeight="1" x14ac:dyDescent="0.3"/>
    <row r="268" ht="12.6" customHeight="1" x14ac:dyDescent="0.3"/>
    <row r="269" ht="12.6" customHeight="1" x14ac:dyDescent="0.3"/>
    <row r="270" ht="12.6" customHeight="1" x14ac:dyDescent="0.3"/>
    <row r="271" ht="12.6" customHeight="1" x14ac:dyDescent="0.3"/>
    <row r="272" ht="12.6" customHeight="1" x14ac:dyDescent="0.3"/>
    <row r="273" ht="12.6" customHeight="1" x14ac:dyDescent="0.3"/>
    <row r="274" ht="12.6" customHeight="1" x14ac:dyDescent="0.3"/>
    <row r="275" ht="12.6" customHeight="1" x14ac:dyDescent="0.3"/>
    <row r="276" ht="12.6" customHeight="1" x14ac:dyDescent="0.3"/>
    <row r="277" ht="12.6" customHeight="1" x14ac:dyDescent="0.3"/>
    <row r="278" ht="12.6" customHeight="1" x14ac:dyDescent="0.3"/>
    <row r="279" ht="12.6" customHeight="1" x14ac:dyDescent="0.3"/>
    <row r="280" ht="12.6" customHeight="1" x14ac:dyDescent="0.3"/>
    <row r="281" ht="12.6" customHeight="1" x14ac:dyDescent="0.3"/>
    <row r="282" ht="12.6" customHeight="1" x14ac:dyDescent="0.3"/>
    <row r="283" ht="12.6" customHeight="1" x14ac:dyDescent="0.3"/>
    <row r="284" ht="12.6" customHeight="1" x14ac:dyDescent="0.3"/>
    <row r="285" ht="12.6" customHeight="1" x14ac:dyDescent="0.3"/>
    <row r="286" ht="12.6" customHeight="1" x14ac:dyDescent="0.3"/>
    <row r="287" ht="12.6" customHeight="1" x14ac:dyDescent="0.3"/>
    <row r="288" ht="12.6" customHeight="1" x14ac:dyDescent="0.3"/>
    <row r="289" ht="12.6" customHeight="1" x14ac:dyDescent="0.3"/>
    <row r="290" ht="12.6" customHeight="1" x14ac:dyDescent="0.3"/>
    <row r="291" ht="12.6" customHeight="1" x14ac:dyDescent="0.3"/>
    <row r="292" ht="12.6" customHeight="1" x14ac:dyDescent="0.3"/>
    <row r="293" ht="12.6" customHeight="1" x14ac:dyDescent="0.3"/>
    <row r="294" ht="12.6" customHeight="1" x14ac:dyDescent="0.3"/>
    <row r="295" ht="12.6" customHeight="1" x14ac:dyDescent="0.3"/>
    <row r="296" ht="12.6" customHeight="1" x14ac:dyDescent="0.3"/>
    <row r="297" ht="12.6" customHeight="1" x14ac:dyDescent="0.3"/>
    <row r="298" ht="12.6" customHeight="1" x14ac:dyDescent="0.3"/>
    <row r="299" ht="12.6" customHeight="1" x14ac:dyDescent="0.3"/>
    <row r="300" ht="12.6" customHeight="1" x14ac:dyDescent="0.3"/>
    <row r="301" ht="12.6" customHeight="1" x14ac:dyDescent="0.3"/>
    <row r="302" ht="12.6" customHeight="1" x14ac:dyDescent="0.3"/>
    <row r="303" ht="12.6" customHeight="1" x14ac:dyDescent="0.3"/>
    <row r="304" ht="12.6" customHeight="1" x14ac:dyDescent="0.3"/>
    <row r="305" ht="12.6" customHeight="1" x14ac:dyDescent="0.3"/>
    <row r="306" ht="12.6" customHeight="1" x14ac:dyDescent="0.3"/>
    <row r="307" ht="12.6" customHeight="1" x14ac:dyDescent="0.3"/>
    <row r="308" ht="12.6" customHeight="1" x14ac:dyDescent="0.3"/>
    <row r="309" ht="12.6" customHeight="1" x14ac:dyDescent="0.3"/>
    <row r="310" ht="12.6" customHeight="1" x14ac:dyDescent="0.3"/>
    <row r="311" ht="12.6" customHeight="1" x14ac:dyDescent="0.3"/>
    <row r="312" ht="12.6" customHeight="1" x14ac:dyDescent="0.3"/>
    <row r="313" ht="12.6" customHeight="1" x14ac:dyDescent="0.3"/>
    <row r="314" ht="12.6" customHeight="1" x14ac:dyDescent="0.3"/>
    <row r="315" ht="12.6" customHeight="1" x14ac:dyDescent="0.3"/>
    <row r="316" ht="12.6" customHeight="1" x14ac:dyDescent="0.3"/>
    <row r="317" ht="12.6" customHeight="1" x14ac:dyDescent="0.3"/>
    <row r="318" ht="12.6" customHeight="1" x14ac:dyDescent="0.3"/>
    <row r="319" ht="12.6" customHeight="1" x14ac:dyDescent="0.3"/>
    <row r="320" ht="12.6" customHeight="1" x14ac:dyDescent="0.3"/>
    <row r="321" ht="12.6" customHeight="1" x14ac:dyDescent="0.3"/>
    <row r="322" ht="12.6" customHeight="1" x14ac:dyDescent="0.3"/>
    <row r="323" ht="12.6" customHeight="1" x14ac:dyDescent="0.3"/>
    <row r="324" ht="12.6" customHeight="1" x14ac:dyDescent="0.3"/>
    <row r="325" ht="12.6" customHeight="1" x14ac:dyDescent="0.3"/>
    <row r="326" ht="12.6" customHeight="1" x14ac:dyDescent="0.3"/>
    <row r="327" ht="12.6" customHeight="1" x14ac:dyDescent="0.3"/>
    <row r="328" ht="12.6" customHeight="1" x14ac:dyDescent="0.3"/>
    <row r="329" ht="12.6" customHeight="1" x14ac:dyDescent="0.3"/>
    <row r="330" ht="12.6" customHeight="1" x14ac:dyDescent="0.3"/>
    <row r="331" ht="12.6" customHeight="1" x14ac:dyDescent="0.3"/>
    <row r="332" ht="12.6" customHeight="1" x14ac:dyDescent="0.3"/>
    <row r="333" ht="12.6" customHeight="1" x14ac:dyDescent="0.3"/>
    <row r="334" ht="12.6" customHeight="1" x14ac:dyDescent="0.3"/>
    <row r="335" ht="12.6" customHeight="1" x14ac:dyDescent="0.3"/>
    <row r="336" ht="12.6" customHeight="1" x14ac:dyDescent="0.3"/>
    <row r="337" ht="12.6" customHeight="1" x14ac:dyDescent="0.3"/>
    <row r="338" ht="12.6" customHeight="1" x14ac:dyDescent="0.3"/>
    <row r="339" ht="12.6" customHeight="1" x14ac:dyDescent="0.3"/>
    <row r="340" ht="12.6" customHeight="1" x14ac:dyDescent="0.3"/>
    <row r="341" ht="12.6" customHeight="1" x14ac:dyDescent="0.3"/>
    <row r="342" ht="12.6" customHeight="1" x14ac:dyDescent="0.3"/>
    <row r="343" ht="12.6" customHeight="1" x14ac:dyDescent="0.3"/>
    <row r="344" ht="12.6" customHeight="1" x14ac:dyDescent="0.3"/>
    <row r="345" ht="12.6" customHeight="1" x14ac:dyDescent="0.3"/>
    <row r="346" ht="12.6" customHeight="1" x14ac:dyDescent="0.3"/>
    <row r="347" ht="12.6" customHeight="1" x14ac:dyDescent="0.3"/>
    <row r="348" ht="12.6" customHeight="1" x14ac:dyDescent="0.3"/>
    <row r="349" ht="12.6" customHeight="1" x14ac:dyDescent="0.3"/>
    <row r="350" ht="12.6" customHeight="1" x14ac:dyDescent="0.3"/>
    <row r="351" ht="12.6" customHeight="1" x14ac:dyDescent="0.3"/>
    <row r="352" ht="12.6" customHeight="1" x14ac:dyDescent="0.3"/>
    <row r="353" ht="12.6" customHeight="1" x14ac:dyDescent="0.3"/>
    <row r="354" ht="12.6" customHeight="1" x14ac:dyDescent="0.3"/>
    <row r="355" ht="12.6" customHeight="1" x14ac:dyDescent="0.3"/>
    <row r="356" ht="12.6" customHeight="1" x14ac:dyDescent="0.3"/>
    <row r="357" ht="12.6" customHeight="1" x14ac:dyDescent="0.3"/>
    <row r="358" ht="12.6" customHeight="1" x14ac:dyDescent="0.3"/>
    <row r="359" ht="12.6" customHeight="1" x14ac:dyDescent="0.3"/>
    <row r="360" ht="12.6" customHeight="1" x14ac:dyDescent="0.3"/>
    <row r="361" ht="12.6" customHeight="1" x14ac:dyDescent="0.3"/>
    <row r="362" ht="12.6" customHeight="1" x14ac:dyDescent="0.3"/>
    <row r="363" ht="12.6" customHeight="1" x14ac:dyDescent="0.3"/>
    <row r="364" ht="12.6" customHeight="1" x14ac:dyDescent="0.3"/>
    <row r="365" ht="12.6" customHeight="1" x14ac:dyDescent="0.3"/>
    <row r="366" ht="12.6" customHeight="1" x14ac:dyDescent="0.3"/>
    <row r="367" ht="12.6" customHeight="1" x14ac:dyDescent="0.3"/>
    <row r="368" ht="12.6" customHeight="1" x14ac:dyDescent="0.3"/>
    <row r="369" ht="12.6" customHeight="1" x14ac:dyDescent="0.3"/>
    <row r="370" ht="12.6" customHeight="1" x14ac:dyDescent="0.3"/>
    <row r="371" ht="12.6" customHeight="1" x14ac:dyDescent="0.3"/>
    <row r="372" ht="12.6" customHeight="1" x14ac:dyDescent="0.3"/>
    <row r="373" ht="12.6" customHeight="1" x14ac:dyDescent="0.3"/>
    <row r="374" ht="12.6" customHeight="1" x14ac:dyDescent="0.3"/>
    <row r="375" ht="12.6" customHeight="1" x14ac:dyDescent="0.3"/>
    <row r="376" ht="12.6" customHeight="1" x14ac:dyDescent="0.3"/>
    <row r="377" ht="12.6" customHeight="1" x14ac:dyDescent="0.3"/>
    <row r="378" ht="12.6" customHeight="1" x14ac:dyDescent="0.3"/>
    <row r="379" ht="12.6" customHeight="1" x14ac:dyDescent="0.3"/>
    <row r="380" ht="12.6" customHeight="1" x14ac:dyDescent="0.3"/>
    <row r="381" ht="12.6" customHeight="1" x14ac:dyDescent="0.3"/>
    <row r="382" ht="12.6" customHeight="1" x14ac:dyDescent="0.3"/>
    <row r="383" ht="12.6" customHeight="1" x14ac:dyDescent="0.3"/>
    <row r="384" ht="12.6" customHeight="1" x14ac:dyDescent="0.3"/>
    <row r="385" ht="12.6" customHeight="1" x14ac:dyDescent="0.3"/>
    <row r="386" ht="12.6" customHeight="1" x14ac:dyDescent="0.3"/>
    <row r="387" ht="12.6" customHeight="1" x14ac:dyDescent="0.3"/>
    <row r="388" ht="12.6" customHeight="1" x14ac:dyDescent="0.3"/>
    <row r="389" ht="12.6" customHeight="1" x14ac:dyDescent="0.3"/>
    <row r="390" ht="12.6" customHeight="1" x14ac:dyDescent="0.3"/>
    <row r="391" ht="12.6" customHeight="1" x14ac:dyDescent="0.3"/>
    <row r="392" ht="12.6" customHeight="1" x14ac:dyDescent="0.3"/>
    <row r="393" ht="12.6" customHeight="1" x14ac:dyDescent="0.3"/>
    <row r="394" ht="12.6" customHeight="1" x14ac:dyDescent="0.3"/>
    <row r="395" ht="12.6" customHeight="1" x14ac:dyDescent="0.3"/>
    <row r="396" ht="12.6" customHeight="1" x14ac:dyDescent="0.3"/>
    <row r="397" ht="12.6" customHeight="1" x14ac:dyDescent="0.3"/>
    <row r="398" ht="12.6" customHeight="1" x14ac:dyDescent="0.3"/>
    <row r="399" ht="12.6" customHeight="1" x14ac:dyDescent="0.3"/>
    <row r="400" ht="12.6" customHeight="1" x14ac:dyDescent="0.3"/>
    <row r="401" ht="12.6" customHeight="1" x14ac:dyDescent="0.3"/>
    <row r="402" ht="12.6" customHeight="1" x14ac:dyDescent="0.3"/>
    <row r="403" ht="12.6" customHeight="1" x14ac:dyDescent="0.3"/>
    <row r="404" ht="12.6" customHeight="1" x14ac:dyDescent="0.3"/>
    <row r="405" ht="12.6" customHeight="1" x14ac:dyDescent="0.3"/>
    <row r="406" ht="12.6" customHeight="1" x14ac:dyDescent="0.3"/>
    <row r="407" ht="12.6" customHeight="1" x14ac:dyDescent="0.3"/>
    <row r="408" ht="12.6" customHeight="1" x14ac:dyDescent="0.3"/>
    <row r="409" ht="12.6" customHeight="1" x14ac:dyDescent="0.3"/>
    <row r="410" ht="12.6" customHeight="1" x14ac:dyDescent="0.3"/>
    <row r="411" ht="12.6" customHeight="1" x14ac:dyDescent="0.3"/>
    <row r="412" ht="12.6" customHeight="1" x14ac:dyDescent="0.3"/>
    <row r="413" ht="12.6" customHeight="1" x14ac:dyDescent="0.3"/>
    <row r="414" ht="12.6" customHeight="1" x14ac:dyDescent="0.3"/>
    <row r="415" ht="12.6" customHeight="1" x14ac:dyDescent="0.3"/>
    <row r="416" ht="12.6" customHeight="1" x14ac:dyDescent="0.3"/>
    <row r="417" ht="12.6" customHeight="1" x14ac:dyDescent="0.3"/>
    <row r="418" ht="12.6" customHeight="1" x14ac:dyDescent="0.3"/>
    <row r="419" ht="12.6" customHeight="1" x14ac:dyDescent="0.3"/>
    <row r="420" ht="12.6" customHeight="1" x14ac:dyDescent="0.3"/>
    <row r="421" ht="12.6" customHeight="1" x14ac:dyDescent="0.3"/>
    <row r="422" ht="12.6" customHeight="1" x14ac:dyDescent="0.3"/>
    <row r="423" ht="12.6" customHeight="1" x14ac:dyDescent="0.3"/>
    <row r="424" ht="12.6" customHeight="1" x14ac:dyDescent="0.3"/>
    <row r="425" ht="12.6" customHeight="1" x14ac:dyDescent="0.3"/>
    <row r="426" ht="12.6" customHeight="1" x14ac:dyDescent="0.3"/>
    <row r="427" ht="12.6" customHeight="1" x14ac:dyDescent="0.3"/>
    <row r="428" ht="12.6" customHeight="1" x14ac:dyDescent="0.3"/>
    <row r="429" ht="12.6" customHeight="1" x14ac:dyDescent="0.3"/>
    <row r="430" ht="12.6" customHeight="1" x14ac:dyDescent="0.3"/>
    <row r="431" ht="12.6" customHeight="1" x14ac:dyDescent="0.3"/>
    <row r="432" ht="12.6" customHeight="1" x14ac:dyDescent="0.3"/>
    <row r="433" ht="12.6" customHeight="1" x14ac:dyDescent="0.3"/>
    <row r="434" ht="12.6" customHeight="1" x14ac:dyDescent="0.3"/>
    <row r="435" ht="12.6" customHeight="1" x14ac:dyDescent="0.3"/>
    <row r="436" ht="12.6" customHeight="1" x14ac:dyDescent="0.3"/>
    <row r="437" ht="12.6" customHeight="1" x14ac:dyDescent="0.3"/>
    <row r="438" ht="12.6" customHeight="1" x14ac:dyDescent="0.3"/>
    <row r="439" ht="12.6" customHeight="1" x14ac:dyDescent="0.3"/>
    <row r="440" ht="12.6" customHeight="1" x14ac:dyDescent="0.3"/>
    <row r="441" ht="12.6" customHeight="1" x14ac:dyDescent="0.3"/>
    <row r="442" ht="12.6" customHeight="1" x14ac:dyDescent="0.3"/>
    <row r="443" ht="12.6" customHeight="1" x14ac:dyDescent="0.3"/>
    <row r="444" ht="12.6" customHeight="1" x14ac:dyDescent="0.3"/>
    <row r="445" ht="12.6" customHeight="1" x14ac:dyDescent="0.3"/>
    <row r="446" ht="12.6" customHeight="1" x14ac:dyDescent="0.3"/>
    <row r="447" ht="12.6" customHeight="1" x14ac:dyDescent="0.3"/>
    <row r="448" ht="12.6" customHeight="1" x14ac:dyDescent="0.3"/>
    <row r="449" ht="12.6" customHeight="1" x14ac:dyDescent="0.3"/>
    <row r="450" ht="12.6" customHeight="1" x14ac:dyDescent="0.3"/>
    <row r="451" ht="12.6" customHeight="1" x14ac:dyDescent="0.3"/>
    <row r="452" ht="12.6" customHeight="1" x14ac:dyDescent="0.3"/>
    <row r="453" ht="12.6" customHeight="1" x14ac:dyDescent="0.3"/>
    <row r="454" ht="12.6" customHeight="1" x14ac:dyDescent="0.3"/>
    <row r="455" ht="12.6" customHeight="1" x14ac:dyDescent="0.3"/>
    <row r="456" ht="12.6" customHeight="1" x14ac:dyDescent="0.3"/>
    <row r="457" ht="12.6" customHeight="1" x14ac:dyDescent="0.3"/>
    <row r="458" ht="12.6" customHeight="1" x14ac:dyDescent="0.3"/>
    <row r="459" ht="12.6" customHeight="1" x14ac:dyDescent="0.3"/>
    <row r="460" ht="12.6" customHeight="1" x14ac:dyDescent="0.3"/>
    <row r="461" ht="12.6" customHeight="1" x14ac:dyDescent="0.3"/>
    <row r="462" ht="12.6" customHeight="1" x14ac:dyDescent="0.3"/>
    <row r="463" ht="12.6" customHeight="1" x14ac:dyDescent="0.3"/>
    <row r="464" ht="12.6" customHeight="1" x14ac:dyDescent="0.3"/>
    <row r="465" ht="12.6" customHeight="1" x14ac:dyDescent="0.3"/>
    <row r="466" ht="12.6" customHeight="1" x14ac:dyDescent="0.3"/>
    <row r="467" ht="12.6" customHeight="1" x14ac:dyDescent="0.3"/>
    <row r="468" ht="12.6" customHeight="1" x14ac:dyDescent="0.3"/>
    <row r="469" ht="12.6" customHeight="1" x14ac:dyDescent="0.3"/>
    <row r="470" ht="12.6" customHeight="1" x14ac:dyDescent="0.3"/>
    <row r="471" ht="12.6" customHeight="1" x14ac:dyDescent="0.3"/>
    <row r="472" ht="12.6" customHeight="1" x14ac:dyDescent="0.3"/>
    <row r="473" ht="12.6" customHeight="1" x14ac:dyDescent="0.3"/>
    <row r="474" ht="12.6" customHeight="1" x14ac:dyDescent="0.3"/>
    <row r="475" ht="12.6" customHeight="1" x14ac:dyDescent="0.3"/>
    <row r="476" ht="12.6" customHeight="1" x14ac:dyDescent="0.3"/>
    <row r="477" ht="12.6" customHeight="1" x14ac:dyDescent="0.3"/>
    <row r="478" ht="12.6" customHeight="1" x14ac:dyDescent="0.3"/>
    <row r="479" ht="12.6" customHeight="1" x14ac:dyDescent="0.3"/>
    <row r="480" ht="12.6" customHeight="1" x14ac:dyDescent="0.3"/>
    <row r="481" ht="12.6" customHeight="1" x14ac:dyDescent="0.3"/>
    <row r="482" ht="12.6" customHeight="1" x14ac:dyDescent="0.3"/>
    <row r="483" ht="12.6" customHeight="1" x14ac:dyDescent="0.3"/>
    <row r="484" ht="12.6" customHeight="1" x14ac:dyDescent="0.3"/>
    <row r="485" ht="12.6" customHeight="1" x14ac:dyDescent="0.3"/>
    <row r="486" ht="12.6" customHeight="1" x14ac:dyDescent="0.3"/>
    <row r="487" ht="12.6" customHeight="1" x14ac:dyDescent="0.3"/>
    <row r="488" ht="12.6" customHeight="1" x14ac:dyDescent="0.3"/>
    <row r="489" ht="12.6" customHeight="1" x14ac:dyDescent="0.3"/>
    <row r="490" ht="12.6" customHeight="1" x14ac:dyDescent="0.3"/>
    <row r="491" ht="12.6" customHeight="1" x14ac:dyDescent="0.3"/>
    <row r="492" ht="12.6" customHeight="1" x14ac:dyDescent="0.3"/>
    <row r="493" ht="12.6" customHeight="1" x14ac:dyDescent="0.3"/>
    <row r="494" ht="12.6" customHeight="1" x14ac:dyDescent="0.3"/>
    <row r="495" ht="12.6" customHeight="1" x14ac:dyDescent="0.3"/>
    <row r="496" ht="12.6" customHeight="1" x14ac:dyDescent="0.3"/>
    <row r="497" ht="12.6" customHeight="1" x14ac:dyDescent="0.3"/>
    <row r="498" ht="12.6" customHeight="1" x14ac:dyDescent="0.3"/>
    <row r="499" ht="12.6" customHeight="1" x14ac:dyDescent="0.3"/>
    <row r="500" ht="12.6" customHeight="1" x14ac:dyDescent="0.3"/>
    <row r="501" ht="12.6" customHeight="1" x14ac:dyDescent="0.3"/>
    <row r="502" ht="12.6" customHeight="1" x14ac:dyDescent="0.3"/>
    <row r="503" ht="12.6" customHeight="1" x14ac:dyDescent="0.3"/>
    <row r="504" ht="12.6" customHeight="1" x14ac:dyDescent="0.3"/>
    <row r="505" ht="12.6" customHeight="1" x14ac:dyDescent="0.3"/>
    <row r="506" ht="12.6" customHeight="1" x14ac:dyDescent="0.3"/>
    <row r="507" ht="12.6" customHeight="1" x14ac:dyDescent="0.3"/>
    <row r="508" ht="12.6" customHeight="1" x14ac:dyDescent="0.3"/>
    <row r="509" ht="12.6" customHeight="1" x14ac:dyDescent="0.3"/>
    <row r="510" ht="12.6" customHeight="1" x14ac:dyDescent="0.3"/>
    <row r="511" ht="12.6" customHeight="1" x14ac:dyDescent="0.3"/>
    <row r="512" ht="12.6" customHeight="1" x14ac:dyDescent="0.3"/>
    <row r="513" ht="12.6" customHeight="1" x14ac:dyDescent="0.3"/>
    <row r="514" ht="12.6" customHeight="1" x14ac:dyDescent="0.3"/>
    <row r="515" ht="12.6" customHeight="1" x14ac:dyDescent="0.3"/>
    <row r="516" ht="12.6" customHeight="1" x14ac:dyDescent="0.3"/>
    <row r="517" ht="12.6" customHeight="1" x14ac:dyDescent="0.3"/>
    <row r="518" ht="12.6" customHeight="1" x14ac:dyDescent="0.3"/>
    <row r="519" ht="12.6" customHeight="1" x14ac:dyDescent="0.3"/>
    <row r="520" ht="12.6" customHeight="1" x14ac:dyDescent="0.3"/>
    <row r="521" ht="12.6" customHeight="1" x14ac:dyDescent="0.3"/>
    <row r="522" ht="12.6" customHeight="1" x14ac:dyDescent="0.3"/>
    <row r="523" ht="12.6" customHeight="1" x14ac:dyDescent="0.3"/>
    <row r="524" ht="12.6" customHeight="1" x14ac:dyDescent="0.3"/>
    <row r="525" ht="12.6" customHeight="1" x14ac:dyDescent="0.3"/>
    <row r="526" ht="12.6" customHeight="1" x14ac:dyDescent="0.3"/>
    <row r="527" ht="12.6" customHeight="1" x14ac:dyDescent="0.3"/>
    <row r="528" ht="12.6" customHeight="1" x14ac:dyDescent="0.3"/>
    <row r="529" ht="12.6" customHeight="1" x14ac:dyDescent="0.3"/>
    <row r="530" ht="12.6" customHeight="1" x14ac:dyDescent="0.3"/>
    <row r="531" ht="12.6" customHeight="1" x14ac:dyDescent="0.3"/>
    <row r="532" ht="12.6" customHeight="1" x14ac:dyDescent="0.3"/>
    <row r="533" ht="12.6" customHeight="1" x14ac:dyDescent="0.3"/>
    <row r="534" ht="12.6" customHeight="1" x14ac:dyDescent="0.3"/>
    <row r="535" ht="12.6" customHeight="1" x14ac:dyDescent="0.3"/>
    <row r="536" ht="12.6" customHeight="1" x14ac:dyDescent="0.3"/>
    <row r="537" ht="12.6" customHeight="1" x14ac:dyDescent="0.3"/>
    <row r="538" ht="12.6" customHeight="1" x14ac:dyDescent="0.3"/>
    <row r="539" ht="12.6" customHeight="1" x14ac:dyDescent="0.3"/>
    <row r="540" ht="12.6" customHeight="1" x14ac:dyDescent="0.3"/>
    <row r="541" ht="12.6" customHeight="1" x14ac:dyDescent="0.3"/>
    <row r="542" ht="12.6" customHeight="1" x14ac:dyDescent="0.3"/>
    <row r="543" ht="12.6" customHeight="1" x14ac:dyDescent="0.3"/>
    <row r="544" ht="12.6" customHeight="1" x14ac:dyDescent="0.3"/>
    <row r="545" ht="12.6" customHeight="1" x14ac:dyDescent="0.3"/>
    <row r="546" ht="12.6" customHeight="1" x14ac:dyDescent="0.3"/>
    <row r="547" ht="12.6" customHeight="1" x14ac:dyDescent="0.3"/>
    <row r="548" ht="12.6" customHeight="1" x14ac:dyDescent="0.3"/>
    <row r="549" ht="12.6" customHeight="1" x14ac:dyDescent="0.3"/>
    <row r="550" ht="12.6" customHeight="1" x14ac:dyDescent="0.3"/>
    <row r="551" ht="12.6" customHeight="1" x14ac:dyDescent="0.3"/>
    <row r="552" ht="12.6" customHeight="1" x14ac:dyDescent="0.3"/>
    <row r="553" ht="12.6" customHeight="1" x14ac:dyDescent="0.3"/>
    <row r="554" ht="12.6" customHeight="1" x14ac:dyDescent="0.3"/>
    <row r="555" ht="12.6" customHeight="1" x14ac:dyDescent="0.3"/>
    <row r="556" ht="12.6" customHeight="1" x14ac:dyDescent="0.3"/>
    <row r="557" ht="12.6" customHeight="1" x14ac:dyDescent="0.3"/>
    <row r="558" ht="12.6" customHeight="1" x14ac:dyDescent="0.3"/>
    <row r="559" ht="12.6" customHeight="1" x14ac:dyDescent="0.3"/>
    <row r="560" ht="12.6" customHeight="1" x14ac:dyDescent="0.3"/>
    <row r="561" ht="12.6" customHeight="1" x14ac:dyDescent="0.3"/>
    <row r="562" ht="12.6" customHeight="1" x14ac:dyDescent="0.3"/>
    <row r="563" ht="12.6" customHeight="1" x14ac:dyDescent="0.3"/>
    <row r="564" ht="12.6" customHeight="1" x14ac:dyDescent="0.3"/>
    <row r="565" ht="12.6" customHeight="1" x14ac:dyDescent="0.3"/>
    <row r="566" ht="12.6" customHeight="1" x14ac:dyDescent="0.3"/>
    <row r="567" ht="12.6" customHeight="1" x14ac:dyDescent="0.3"/>
    <row r="568" ht="12.6" customHeight="1" x14ac:dyDescent="0.3"/>
    <row r="569" ht="12.6" customHeight="1" x14ac:dyDescent="0.3"/>
    <row r="570" ht="12.6" customHeight="1" x14ac:dyDescent="0.3"/>
    <row r="571" ht="12.6" customHeight="1" x14ac:dyDescent="0.3"/>
    <row r="572" ht="12.6" customHeight="1" x14ac:dyDescent="0.3"/>
    <row r="573" ht="12.6" customHeight="1" x14ac:dyDescent="0.3"/>
    <row r="574" ht="12.6" customHeight="1" x14ac:dyDescent="0.3"/>
    <row r="575" ht="12.6" customHeight="1" x14ac:dyDescent="0.3"/>
    <row r="576" ht="12.6" customHeight="1" x14ac:dyDescent="0.3"/>
    <row r="577" ht="12.6" customHeight="1" x14ac:dyDescent="0.3"/>
    <row r="578" ht="12.6" customHeight="1" x14ac:dyDescent="0.3"/>
    <row r="579" ht="12.6" customHeight="1" x14ac:dyDescent="0.3"/>
    <row r="580" ht="12.6" customHeight="1" x14ac:dyDescent="0.3"/>
    <row r="581" ht="12.6" customHeight="1" x14ac:dyDescent="0.3"/>
    <row r="582" ht="12.6" customHeight="1" x14ac:dyDescent="0.3"/>
    <row r="583" ht="12.6" customHeight="1" x14ac:dyDescent="0.3"/>
    <row r="584" ht="12.6" customHeight="1" x14ac:dyDescent="0.3"/>
    <row r="585" ht="12.6" customHeight="1" x14ac:dyDescent="0.3"/>
    <row r="586" ht="12.6" customHeight="1" x14ac:dyDescent="0.3"/>
    <row r="587" ht="12.6" customHeight="1" x14ac:dyDescent="0.3"/>
    <row r="588" ht="12.6" customHeight="1" x14ac:dyDescent="0.3"/>
    <row r="589" ht="12.6" customHeight="1" x14ac:dyDescent="0.3"/>
    <row r="590" ht="12.6" customHeight="1" x14ac:dyDescent="0.3"/>
    <row r="591" ht="12.6" customHeight="1" x14ac:dyDescent="0.3"/>
    <row r="592" ht="12.6" customHeight="1" x14ac:dyDescent="0.3"/>
    <row r="593" ht="12.6" customHeight="1" x14ac:dyDescent="0.3"/>
    <row r="594" ht="12.6" customHeight="1" x14ac:dyDescent="0.3"/>
    <row r="595" ht="12.6" customHeight="1" x14ac:dyDescent="0.3"/>
    <row r="596" ht="12.6" customHeight="1" x14ac:dyDescent="0.3"/>
    <row r="597" ht="12.6" customHeight="1" x14ac:dyDescent="0.3"/>
    <row r="598" ht="12.6" customHeight="1" x14ac:dyDescent="0.3"/>
    <row r="599" ht="12.6" customHeight="1" x14ac:dyDescent="0.3"/>
    <row r="600" ht="12.6" customHeight="1" x14ac:dyDescent="0.3"/>
    <row r="601" ht="12.6" customHeight="1" x14ac:dyDescent="0.3"/>
    <row r="602" ht="12.6" customHeight="1" x14ac:dyDescent="0.3"/>
    <row r="603" ht="12.6" customHeight="1" x14ac:dyDescent="0.3"/>
    <row r="604" ht="12.6" customHeight="1" x14ac:dyDescent="0.3"/>
    <row r="605" ht="12.6" customHeight="1" x14ac:dyDescent="0.3"/>
    <row r="606" ht="12.6" customHeight="1" x14ac:dyDescent="0.3"/>
    <row r="607" ht="12.6" customHeight="1" x14ac:dyDescent="0.3"/>
    <row r="608" ht="12.6" customHeight="1" x14ac:dyDescent="0.3"/>
    <row r="609" ht="12.6" customHeight="1" x14ac:dyDescent="0.3"/>
    <row r="610" ht="12.6" customHeight="1" x14ac:dyDescent="0.3"/>
    <row r="611" ht="12.6" customHeight="1" x14ac:dyDescent="0.3"/>
    <row r="612" ht="12.6" customHeight="1" x14ac:dyDescent="0.3"/>
    <row r="613" ht="12.6" customHeight="1" x14ac:dyDescent="0.3"/>
    <row r="614" ht="12.6" customHeight="1" x14ac:dyDescent="0.3"/>
    <row r="615" ht="12.6" customHeight="1" x14ac:dyDescent="0.3"/>
    <row r="616" ht="12.6" customHeight="1" x14ac:dyDescent="0.3"/>
    <row r="617" ht="12.6" customHeight="1" x14ac:dyDescent="0.3"/>
    <row r="618" ht="12.6" customHeight="1" x14ac:dyDescent="0.3"/>
    <row r="619" ht="12.6" customHeight="1" x14ac:dyDescent="0.3"/>
    <row r="620" ht="12.6" customHeight="1" x14ac:dyDescent="0.3"/>
    <row r="621" ht="12.6" customHeight="1" x14ac:dyDescent="0.3"/>
    <row r="622" ht="12.6" customHeight="1" x14ac:dyDescent="0.3"/>
    <row r="623" ht="12.6" customHeight="1" x14ac:dyDescent="0.3"/>
    <row r="624" ht="12.6" customHeight="1" x14ac:dyDescent="0.3"/>
    <row r="625" ht="12.6" customHeight="1" x14ac:dyDescent="0.3"/>
    <row r="626" ht="12.6" customHeight="1" x14ac:dyDescent="0.3"/>
    <row r="627" ht="12.6" customHeight="1" x14ac:dyDescent="0.3"/>
    <row r="628" ht="12.6" customHeight="1" x14ac:dyDescent="0.3"/>
    <row r="629" ht="12.6" customHeight="1" x14ac:dyDescent="0.3"/>
    <row r="630" ht="12.6" customHeight="1" x14ac:dyDescent="0.3"/>
    <row r="631" ht="12.6" customHeight="1" x14ac:dyDescent="0.3"/>
    <row r="632" ht="12.6" customHeight="1" x14ac:dyDescent="0.3"/>
    <row r="633" ht="12.6" customHeight="1" x14ac:dyDescent="0.3"/>
    <row r="634" ht="12.6" customHeight="1" x14ac:dyDescent="0.3"/>
    <row r="635" ht="12.6" customHeight="1" x14ac:dyDescent="0.3"/>
    <row r="636" ht="12.6" customHeight="1" x14ac:dyDescent="0.3"/>
    <row r="637" ht="12.6" customHeight="1" x14ac:dyDescent="0.3"/>
    <row r="638" ht="12.6" customHeight="1" x14ac:dyDescent="0.3"/>
    <row r="639" ht="12.6" customHeight="1" x14ac:dyDescent="0.3"/>
    <row r="640" ht="12.6" customHeight="1" x14ac:dyDescent="0.3"/>
    <row r="641" ht="12.6" customHeight="1" x14ac:dyDescent="0.3"/>
    <row r="642" ht="12.6" customHeight="1" x14ac:dyDescent="0.3"/>
    <row r="643" ht="12.6" customHeight="1" x14ac:dyDescent="0.3"/>
    <row r="644" ht="12.6" customHeight="1" x14ac:dyDescent="0.3"/>
    <row r="645" ht="12.6" customHeight="1" x14ac:dyDescent="0.3"/>
    <row r="646" ht="12.6" customHeight="1" x14ac:dyDescent="0.3"/>
    <row r="647" ht="12.6" customHeight="1" x14ac:dyDescent="0.3"/>
    <row r="648" ht="12.6" customHeight="1" x14ac:dyDescent="0.3"/>
    <row r="649" ht="12.6" customHeight="1" x14ac:dyDescent="0.3"/>
    <row r="650" ht="12.6" customHeight="1" x14ac:dyDescent="0.3"/>
    <row r="651" ht="12.6" customHeight="1" x14ac:dyDescent="0.3"/>
    <row r="652" ht="12.6" customHeight="1" x14ac:dyDescent="0.3"/>
    <row r="653" ht="12.6" customHeight="1" x14ac:dyDescent="0.3"/>
    <row r="654" ht="12.6" customHeight="1" x14ac:dyDescent="0.3"/>
    <row r="655" ht="12.6" customHeight="1" x14ac:dyDescent="0.3"/>
    <row r="656" ht="12.6" customHeight="1" x14ac:dyDescent="0.3"/>
    <row r="657" ht="12.6" customHeight="1" x14ac:dyDescent="0.3"/>
    <row r="658" ht="12.6" customHeight="1" x14ac:dyDescent="0.3"/>
    <row r="659" ht="12.6" customHeight="1" x14ac:dyDescent="0.3"/>
    <row r="660" ht="12.6" customHeight="1" x14ac:dyDescent="0.3"/>
    <row r="661" ht="12.6" customHeight="1" x14ac:dyDescent="0.3"/>
    <row r="662" ht="12.6" customHeight="1" x14ac:dyDescent="0.3"/>
    <row r="663" ht="12.6" customHeight="1" x14ac:dyDescent="0.3"/>
    <row r="664" ht="12.6" customHeight="1" x14ac:dyDescent="0.3"/>
    <row r="665" ht="12.6" customHeight="1" x14ac:dyDescent="0.3"/>
    <row r="666" ht="12.6" customHeight="1" x14ac:dyDescent="0.3"/>
    <row r="667" ht="12.6" customHeight="1" x14ac:dyDescent="0.3"/>
    <row r="668" ht="12.6" customHeight="1" x14ac:dyDescent="0.3"/>
    <row r="669" ht="12.6" customHeight="1" x14ac:dyDescent="0.3"/>
    <row r="670" ht="12.6" customHeight="1" x14ac:dyDescent="0.3"/>
    <row r="671" ht="12.6" customHeight="1" x14ac:dyDescent="0.3"/>
    <row r="672" ht="12.6" customHeight="1" x14ac:dyDescent="0.3"/>
    <row r="673" ht="12.6" customHeight="1" x14ac:dyDescent="0.3"/>
    <row r="674" ht="12.6" customHeight="1" x14ac:dyDescent="0.3"/>
    <row r="675" ht="12.6" customHeight="1" x14ac:dyDescent="0.3"/>
    <row r="676" ht="12.6" customHeight="1" x14ac:dyDescent="0.3"/>
    <row r="677" ht="12.6" customHeight="1" x14ac:dyDescent="0.3"/>
    <row r="678" ht="12.6" customHeight="1" x14ac:dyDescent="0.3"/>
    <row r="679" ht="12.6" customHeight="1" x14ac:dyDescent="0.3"/>
    <row r="680" ht="12.6" customHeight="1" x14ac:dyDescent="0.3"/>
    <row r="681" ht="12.6" customHeight="1" x14ac:dyDescent="0.3"/>
    <row r="682" ht="12.6" customHeight="1" x14ac:dyDescent="0.3"/>
    <row r="683" ht="12.6" customHeight="1" x14ac:dyDescent="0.3"/>
    <row r="684" ht="12.6" customHeight="1" x14ac:dyDescent="0.3"/>
    <row r="685" ht="12.6" customHeight="1" x14ac:dyDescent="0.3"/>
    <row r="686" ht="12.6" customHeight="1" x14ac:dyDescent="0.3"/>
    <row r="687" ht="12.6" customHeight="1" x14ac:dyDescent="0.3"/>
    <row r="688" ht="12.6" customHeight="1" x14ac:dyDescent="0.3"/>
    <row r="689" ht="12.6" customHeight="1" x14ac:dyDescent="0.3"/>
    <row r="690" ht="12.6" customHeight="1" x14ac:dyDescent="0.3"/>
    <row r="691" ht="12.6" customHeight="1" x14ac:dyDescent="0.3"/>
    <row r="692" ht="12.6" customHeight="1" x14ac:dyDescent="0.3"/>
    <row r="693" ht="12.6" customHeight="1" x14ac:dyDescent="0.3"/>
    <row r="694" ht="12.6" customHeight="1" x14ac:dyDescent="0.3"/>
    <row r="695" ht="12.6" customHeight="1" x14ac:dyDescent="0.3"/>
    <row r="696" ht="12.6" customHeight="1" x14ac:dyDescent="0.3"/>
    <row r="697" ht="12.6" customHeight="1" x14ac:dyDescent="0.3"/>
    <row r="698" ht="12.6" customHeight="1" x14ac:dyDescent="0.3"/>
    <row r="699" ht="12.6" customHeight="1" x14ac:dyDescent="0.3"/>
    <row r="700" ht="12.6" customHeight="1" x14ac:dyDescent="0.3"/>
    <row r="701" ht="12.6" customHeight="1" x14ac:dyDescent="0.3"/>
    <row r="702" ht="12.6" customHeight="1" x14ac:dyDescent="0.3"/>
    <row r="703" ht="12.6" customHeight="1" x14ac:dyDescent="0.3"/>
    <row r="704" ht="12.6" customHeight="1" x14ac:dyDescent="0.3"/>
    <row r="705" ht="12.6" customHeight="1" x14ac:dyDescent="0.3"/>
    <row r="706" ht="12.6" customHeight="1" x14ac:dyDescent="0.3"/>
    <row r="707" ht="12.6" customHeight="1" x14ac:dyDescent="0.3"/>
    <row r="708" ht="12.6" customHeight="1" x14ac:dyDescent="0.3"/>
    <row r="709" ht="12.6" customHeight="1" x14ac:dyDescent="0.3"/>
    <row r="710" ht="12.6" customHeight="1" x14ac:dyDescent="0.3"/>
    <row r="711" ht="12.6" customHeight="1" x14ac:dyDescent="0.3"/>
    <row r="712" ht="12.6" customHeight="1" x14ac:dyDescent="0.3"/>
    <row r="713" ht="12.6" customHeight="1" x14ac:dyDescent="0.3"/>
    <row r="714" ht="12.6" customHeight="1" x14ac:dyDescent="0.3"/>
    <row r="715" ht="12.6" customHeight="1" x14ac:dyDescent="0.3"/>
    <row r="716" ht="12.6" customHeight="1" x14ac:dyDescent="0.3"/>
    <row r="717" ht="12.6" customHeight="1" x14ac:dyDescent="0.3"/>
    <row r="718" ht="12.6" customHeight="1" x14ac:dyDescent="0.3"/>
    <row r="719" ht="12.6" customHeight="1" x14ac:dyDescent="0.3"/>
    <row r="720" ht="12.6" customHeight="1" x14ac:dyDescent="0.3"/>
    <row r="721" ht="12.6" customHeight="1" x14ac:dyDescent="0.3"/>
    <row r="722" ht="12.6" customHeight="1" x14ac:dyDescent="0.3"/>
    <row r="723" ht="12.6" customHeight="1" x14ac:dyDescent="0.3"/>
    <row r="724" ht="12.6" customHeight="1" x14ac:dyDescent="0.3"/>
    <row r="725" ht="12.6" customHeight="1" x14ac:dyDescent="0.3"/>
    <row r="726" ht="12.6" customHeight="1" x14ac:dyDescent="0.3"/>
    <row r="727" ht="12.6" customHeight="1" x14ac:dyDescent="0.3"/>
    <row r="728" ht="12.6" customHeight="1" x14ac:dyDescent="0.3"/>
    <row r="729" ht="12.6" customHeight="1" x14ac:dyDescent="0.3"/>
    <row r="730" ht="12.6" customHeight="1" x14ac:dyDescent="0.3"/>
    <row r="731" ht="12.6" customHeight="1" x14ac:dyDescent="0.3"/>
    <row r="732" ht="12.6" customHeight="1" x14ac:dyDescent="0.3"/>
    <row r="733" ht="12.6" customHeight="1" x14ac:dyDescent="0.3"/>
    <row r="734" ht="12.6" customHeight="1" x14ac:dyDescent="0.3"/>
    <row r="735" ht="12.6" customHeight="1" x14ac:dyDescent="0.3"/>
    <row r="736" ht="12.6" customHeight="1" x14ac:dyDescent="0.3"/>
    <row r="737" ht="12.6" customHeight="1" x14ac:dyDescent="0.3"/>
    <row r="738" ht="12.6" customHeight="1" x14ac:dyDescent="0.3"/>
    <row r="739" ht="12.6" customHeight="1" x14ac:dyDescent="0.3"/>
    <row r="740" ht="12.6" customHeight="1" x14ac:dyDescent="0.3"/>
    <row r="741" ht="12.6" customHeight="1" x14ac:dyDescent="0.3"/>
    <row r="742" ht="12.6" customHeight="1" x14ac:dyDescent="0.3"/>
    <row r="743" ht="12.6" customHeight="1" x14ac:dyDescent="0.3"/>
    <row r="744" ht="12.6" customHeight="1" x14ac:dyDescent="0.3"/>
    <row r="745" ht="12.6" customHeight="1" x14ac:dyDescent="0.3"/>
    <row r="746" ht="12.6" customHeight="1" x14ac:dyDescent="0.3"/>
    <row r="747" ht="12.6" customHeight="1" x14ac:dyDescent="0.3"/>
    <row r="748" ht="12.6" customHeight="1" x14ac:dyDescent="0.3"/>
    <row r="749" ht="12.6" customHeight="1" x14ac:dyDescent="0.3"/>
    <row r="750" ht="12.6" customHeight="1" x14ac:dyDescent="0.3"/>
    <row r="751" ht="12.6" customHeight="1" x14ac:dyDescent="0.3"/>
    <row r="752" ht="12.6" customHeight="1" x14ac:dyDescent="0.3"/>
    <row r="753" ht="12.6" customHeight="1" x14ac:dyDescent="0.3"/>
    <row r="754" ht="12.6" customHeight="1" x14ac:dyDescent="0.3"/>
    <row r="755" ht="12.6" customHeight="1" x14ac:dyDescent="0.3"/>
    <row r="756" ht="12.6" customHeight="1" x14ac:dyDescent="0.3"/>
    <row r="757" ht="12.6" customHeight="1" x14ac:dyDescent="0.3"/>
    <row r="758" ht="12.6" customHeight="1" x14ac:dyDescent="0.3"/>
    <row r="759" ht="12.6" customHeight="1" x14ac:dyDescent="0.3"/>
    <row r="760" ht="12.6" customHeight="1" x14ac:dyDescent="0.3"/>
    <row r="761" ht="12.6" customHeight="1" x14ac:dyDescent="0.3"/>
    <row r="762" ht="12.6" customHeight="1" x14ac:dyDescent="0.3"/>
    <row r="763" ht="12.6" customHeight="1" x14ac:dyDescent="0.3"/>
    <row r="764" ht="12.6" customHeight="1" x14ac:dyDescent="0.3"/>
    <row r="765" ht="12.6" customHeight="1" x14ac:dyDescent="0.3"/>
    <row r="766" ht="12.6" customHeight="1" x14ac:dyDescent="0.3"/>
    <row r="767" ht="12.6" customHeight="1" x14ac:dyDescent="0.3"/>
    <row r="768" ht="12.6" customHeight="1" x14ac:dyDescent="0.3"/>
    <row r="769" ht="12.6" customHeight="1" x14ac:dyDescent="0.3"/>
    <row r="770" ht="12.6" customHeight="1" x14ac:dyDescent="0.3"/>
    <row r="771" ht="12.6" customHeight="1" x14ac:dyDescent="0.3"/>
    <row r="772" ht="12.6" customHeight="1" x14ac:dyDescent="0.3"/>
    <row r="773" ht="12.6" customHeight="1" x14ac:dyDescent="0.3"/>
    <row r="774" ht="12.6" customHeight="1" x14ac:dyDescent="0.3"/>
    <row r="775" ht="12.6" customHeight="1" x14ac:dyDescent="0.3"/>
    <row r="776" ht="12.6" customHeight="1" x14ac:dyDescent="0.3"/>
    <row r="777" ht="12.6" customHeight="1" x14ac:dyDescent="0.3"/>
    <row r="778" ht="12.6" customHeight="1" x14ac:dyDescent="0.3"/>
    <row r="779" ht="12.6" customHeight="1" x14ac:dyDescent="0.3"/>
    <row r="780" ht="12.6" customHeight="1" x14ac:dyDescent="0.3"/>
    <row r="781" ht="12.6" customHeight="1" x14ac:dyDescent="0.3"/>
    <row r="782" ht="12.6" customHeight="1" x14ac:dyDescent="0.3"/>
    <row r="783" ht="12.6" customHeight="1" x14ac:dyDescent="0.3"/>
    <row r="784" ht="12.6" customHeight="1" x14ac:dyDescent="0.3"/>
    <row r="785" ht="12.6" customHeight="1" x14ac:dyDescent="0.3"/>
    <row r="786" ht="12.6" customHeight="1" x14ac:dyDescent="0.3"/>
    <row r="787" ht="12.6" customHeight="1" x14ac:dyDescent="0.3"/>
    <row r="788" ht="12.6" customHeight="1" x14ac:dyDescent="0.3"/>
    <row r="789" ht="12.6" customHeight="1" x14ac:dyDescent="0.3"/>
    <row r="790" ht="12.6" customHeight="1" x14ac:dyDescent="0.3"/>
    <row r="791" ht="12.6" customHeight="1" x14ac:dyDescent="0.3"/>
    <row r="792" ht="12.6" customHeight="1" x14ac:dyDescent="0.3"/>
    <row r="793" ht="12.6" customHeight="1" x14ac:dyDescent="0.3"/>
    <row r="794" ht="12.6" customHeight="1" x14ac:dyDescent="0.3"/>
    <row r="795" ht="12.6" customHeight="1" x14ac:dyDescent="0.3"/>
    <row r="796" ht="12.6" customHeight="1" x14ac:dyDescent="0.3"/>
    <row r="797" ht="12.6" customHeight="1" x14ac:dyDescent="0.3"/>
    <row r="798" ht="12.6" customHeight="1" x14ac:dyDescent="0.3"/>
    <row r="799" ht="12.6" customHeight="1" x14ac:dyDescent="0.3"/>
    <row r="800" ht="12.6" customHeight="1" x14ac:dyDescent="0.3"/>
    <row r="801" ht="12.6" customHeight="1" x14ac:dyDescent="0.3"/>
    <row r="802" ht="12.6" customHeight="1" x14ac:dyDescent="0.3"/>
    <row r="803" ht="12.6" customHeight="1" x14ac:dyDescent="0.3"/>
    <row r="804" ht="12.6" customHeight="1" x14ac:dyDescent="0.3"/>
    <row r="805" ht="12.6" customHeight="1" x14ac:dyDescent="0.3"/>
    <row r="806" ht="12.6" customHeight="1" x14ac:dyDescent="0.3"/>
    <row r="807" ht="12.6" customHeight="1" x14ac:dyDescent="0.3"/>
    <row r="808" ht="12.6" customHeight="1" x14ac:dyDescent="0.3"/>
    <row r="809" ht="12.6" customHeight="1" x14ac:dyDescent="0.3"/>
    <row r="810" ht="12.6" customHeight="1" x14ac:dyDescent="0.3"/>
    <row r="811" ht="12.6" customHeight="1" x14ac:dyDescent="0.3"/>
    <row r="812" ht="12.6" customHeight="1" x14ac:dyDescent="0.3"/>
    <row r="813" ht="12.6" customHeight="1" x14ac:dyDescent="0.3"/>
    <row r="814" ht="12.6" customHeight="1" x14ac:dyDescent="0.3"/>
    <row r="815" ht="12.6" customHeight="1" x14ac:dyDescent="0.3"/>
    <row r="816" ht="12.6" customHeight="1" x14ac:dyDescent="0.3"/>
    <row r="817" ht="12.6" customHeight="1" x14ac:dyDescent="0.3"/>
    <row r="818" ht="12.6" customHeight="1" x14ac:dyDescent="0.3"/>
    <row r="819" ht="12.6" customHeight="1" x14ac:dyDescent="0.3"/>
    <row r="820" ht="12.6" customHeight="1" x14ac:dyDescent="0.3"/>
    <row r="821" ht="12.6" customHeight="1" x14ac:dyDescent="0.3"/>
    <row r="822" ht="12.6" customHeight="1" x14ac:dyDescent="0.3"/>
    <row r="823" ht="12.6" customHeight="1" x14ac:dyDescent="0.3"/>
    <row r="824" ht="12.6" customHeight="1" x14ac:dyDescent="0.3"/>
    <row r="825" ht="12.6" customHeight="1" x14ac:dyDescent="0.3"/>
    <row r="826" ht="12.6" customHeight="1" x14ac:dyDescent="0.3"/>
    <row r="827" ht="12.6" customHeight="1" x14ac:dyDescent="0.3"/>
    <row r="828" ht="12.6" customHeight="1" x14ac:dyDescent="0.3"/>
    <row r="829" ht="12.6" customHeight="1" x14ac:dyDescent="0.3"/>
    <row r="830" ht="12.6" customHeight="1" x14ac:dyDescent="0.3"/>
    <row r="831" ht="12.6" customHeight="1" x14ac:dyDescent="0.3"/>
    <row r="832" ht="12.6" customHeight="1" x14ac:dyDescent="0.3"/>
    <row r="833" ht="12.6" customHeight="1" x14ac:dyDescent="0.3"/>
    <row r="834" ht="12.6" customHeight="1" x14ac:dyDescent="0.3"/>
    <row r="835" ht="12.6" customHeight="1" x14ac:dyDescent="0.3"/>
    <row r="836" ht="12.6" customHeight="1" x14ac:dyDescent="0.3"/>
    <row r="837" ht="12.6" customHeight="1" x14ac:dyDescent="0.3"/>
    <row r="838" ht="12.6" customHeight="1" x14ac:dyDescent="0.3"/>
    <row r="839" ht="12.6" customHeight="1" x14ac:dyDescent="0.3"/>
    <row r="840" ht="12.6" customHeight="1" x14ac:dyDescent="0.3"/>
    <row r="841" ht="12.6" customHeight="1" x14ac:dyDescent="0.3"/>
    <row r="842" ht="12.6" customHeight="1" x14ac:dyDescent="0.3"/>
    <row r="843" ht="12.6" customHeight="1" x14ac:dyDescent="0.3"/>
    <row r="844" ht="12.6" customHeight="1" x14ac:dyDescent="0.3"/>
    <row r="845" ht="12.6" customHeight="1" x14ac:dyDescent="0.3"/>
    <row r="846" ht="12.6" customHeight="1" x14ac:dyDescent="0.3"/>
    <row r="847" ht="12.6" customHeight="1" x14ac:dyDescent="0.3"/>
    <row r="848" ht="12.6" customHeight="1" x14ac:dyDescent="0.3"/>
    <row r="849" ht="12.6" customHeight="1" x14ac:dyDescent="0.3"/>
    <row r="850" ht="12.6" customHeight="1" x14ac:dyDescent="0.3"/>
    <row r="851" ht="12.6" customHeight="1" x14ac:dyDescent="0.3"/>
    <row r="852" ht="12.6" customHeight="1" x14ac:dyDescent="0.3"/>
    <row r="853" ht="12.6" customHeight="1" x14ac:dyDescent="0.3"/>
    <row r="854" ht="12.6" customHeight="1" x14ac:dyDescent="0.3"/>
    <row r="855" ht="12.6" customHeight="1" x14ac:dyDescent="0.3"/>
    <row r="856" ht="12.6" customHeight="1" x14ac:dyDescent="0.3"/>
    <row r="857" ht="12.6" customHeight="1" x14ac:dyDescent="0.3"/>
    <row r="858" ht="12.6" customHeight="1" x14ac:dyDescent="0.3"/>
    <row r="859" ht="12.6" customHeight="1" x14ac:dyDescent="0.3"/>
    <row r="860" ht="12.6" customHeight="1" x14ac:dyDescent="0.3"/>
    <row r="861" ht="12.6" customHeight="1" x14ac:dyDescent="0.3"/>
    <row r="862" ht="12.6" customHeight="1" x14ac:dyDescent="0.3"/>
    <row r="863" ht="12.6" customHeight="1" x14ac:dyDescent="0.3"/>
    <row r="864" ht="12.6" customHeight="1" x14ac:dyDescent="0.3"/>
    <row r="865" ht="12.6" customHeight="1" x14ac:dyDescent="0.3"/>
    <row r="866" ht="12.6" customHeight="1" x14ac:dyDescent="0.3"/>
    <row r="867" ht="12.6" customHeight="1" x14ac:dyDescent="0.3"/>
    <row r="868" ht="12.6" customHeight="1" x14ac:dyDescent="0.3"/>
    <row r="869" ht="12.6" customHeight="1" x14ac:dyDescent="0.3"/>
    <row r="870" ht="12.6" customHeight="1" x14ac:dyDescent="0.3"/>
    <row r="871" ht="12.6" customHeight="1" x14ac:dyDescent="0.3"/>
    <row r="872" ht="12.6" customHeight="1" x14ac:dyDescent="0.3"/>
    <row r="873" ht="12.6" customHeight="1" x14ac:dyDescent="0.3"/>
    <row r="874" ht="12.6" customHeight="1" x14ac:dyDescent="0.3"/>
    <row r="875" ht="12.6" customHeight="1" x14ac:dyDescent="0.3"/>
    <row r="876" ht="12.6" customHeight="1" x14ac:dyDescent="0.3"/>
    <row r="877" ht="12.6" customHeight="1" x14ac:dyDescent="0.3"/>
    <row r="878" ht="12.6" customHeight="1" x14ac:dyDescent="0.3"/>
    <row r="879" ht="12.6" customHeight="1" x14ac:dyDescent="0.3"/>
    <row r="880" ht="12.6" customHeight="1" x14ac:dyDescent="0.3"/>
    <row r="881" ht="12.6" customHeight="1" x14ac:dyDescent="0.3"/>
    <row r="882" ht="12.6" customHeight="1" x14ac:dyDescent="0.3"/>
    <row r="883" ht="12.6" customHeight="1" x14ac:dyDescent="0.3"/>
    <row r="884" ht="12.6" customHeight="1" x14ac:dyDescent="0.3"/>
    <row r="885" ht="12.6" customHeight="1" x14ac:dyDescent="0.3"/>
    <row r="886" ht="12.6" customHeight="1" x14ac:dyDescent="0.3"/>
    <row r="887" ht="12.6" customHeight="1" x14ac:dyDescent="0.3"/>
    <row r="888" ht="12.6" customHeight="1" x14ac:dyDescent="0.3"/>
    <row r="889" ht="12.6" customHeight="1" x14ac:dyDescent="0.3"/>
    <row r="890" ht="12.6" customHeight="1" x14ac:dyDescent="0.3"/>
    <row r="891" ht="12.6" customHeight="1" x14ac:dyDescent="0.3"/>
    <row r="892" ht="12.6" customHeight="1" x14ac:dyDescent="0.3"/>
    <row r="893" ht="12.6" customHeight="1" x14ac:dyDescent="0.3"/>
    <row r="894" ht="12.6" customHeight="1" x14ac:dyDescent="0.3"/>
    <row r="895" ht="12.6" customHeight="1" x14ac:dyDescent="0.3"/>
    <row r="896" ht="12.6" customHeight="1" x14ac:dyDescent="0.3"/>
    <row r="897" ht="12.6" customHeight="1" x14ac:dyDescent="0.3"/>
    <row r="898" ht="12.6" customHeight="1" x14ac:dyDescent="0.3"/>
    <row r="899" ht="12.6" customHeight="1" x14ac:dyDescent="0.3"/>
    <row r="900" ht="12.6" customHeight="1" x14ac:dyDescent="0.3"/>
    <row r="901" ht="12.6" customHeight="1" x14ac:dyDescent="0.3"/>
    <row r="902" ht="12.6" customHeight="1" x14ac:dyDescent="0.3"/>
    <row r="903" ht="12.6" customHeight="1" x14ac:dyDescent="0.3"/>
    <row r="904" ht="12.6" customHeight="1" x14ac:dyDescent="0.3"/>
    <row r="905" ht="12.6" customHeight="1" x14ac:dyDescent="0.3"/>
    <row r="906" ht="12.6" customHeight="1" x14ac:dyDescent="0.3"/>
    <row r="907" ht="12.6" customHeight="1" x14ac:dyDescent="0.3"/>
    <row r="908" ht="12.6" customHeight="1" x14ac:dyDescent="0.3"/>
    <row r="909" ht="12.6" customHeight="1" x14ac:dyDescent="0.3"/>
    <row r="910" ht="12.6" customHeight="1" x14ac:dyDescent="0.3"/>
    <row r="911" ht="12.6" customHeight="1" x14ac:dyDescent="0.3"/>
    <row r="912" ht="12.6" customHeight="1" x14ac:dyDescent="0.3"/>
    <row r="913" ht="12.6" customHeight="1" x14ac:dyDescent="0.3"/>
    <row r="914" ht="12.6" customHeight="1" x14ac:dyDescent="0.3"/>
    <row r="915" ht="12.6" customHeight="1" x14ac:dyDescent="0.3"/>
    <row r="916" ht="12.6" customHeight="1" x14ac:dyDescent="0.3"/>
    <row r="917" ht="12.6" customHeight="1" x14ac:dyDescent="0.3"/>
    <row r="918" ht="12.6" customHeight="1" x14ac:dyDescent="0.3"/>
    <row r="919" ht="12.6" customHeight="1" x14ac:dyDescent="0.3"/>
    <row r="920" ht="12.6" customHeight="1" x14ac:dyDescent="0.3"/>
    <row r="921" ht="12.6" customHeight="1" x14ac:dyDescent="0.3"/>
    <row r="922" ht="12.6" customHeight="1" x14ac:dyDescent="0.3"/>
    <row r="923" ht="12.6" customHeight="1" x14ac:dyDescent="0.3"/>
    <row r="924" ht="12.6" customHeight="1" x14ac:dyDescent="0.3"/>
    <row r="925" ht="12.6" customHeight="1" x14ac:dyDescent="0.3"/>
    <row r="926" ht="12.6" customHeight="1" x14ac:dyDescent="0.3"/>
    <row r="927" ht="12.6" customHeight="1" x14ac:dyDescent="0.3"/>
    <row r="928" ht="12.6" customHeight="1" x14ac:dyDescent="0.3"/>
    <row r="929" ht="12.6" customHeight="1" x14ac:dyDescent="0.3"/>
    <row r="930" ht="12.6" customHeight="1" x14ac:dyDescent="0.3"/>
    <row r="931" ht="12.6" customHeight="1" x14ac:dyDescent="0.3"/>
    <row r="932" ht="12.6" customHeight="1" x14ac:dyDescent="0.3"/>
    <row r="933" ht="12.6" customHeight="1" x14ac:dyDescent="0.3"/>
    <row r="934" ht="12.6" customHeight="1" x14ac:dyDescent="0.3"/>
    <row r="935" ht="12.6" customHeight="1" x14ac:dyDescent="0.3"/>
    <row r="936" ht="12.6" customHeight="1" x14ac:dyDescent="0.3"/>
    <row r="937" ht="12.6" customHeight="1" x14ac:dyDescent="0.3"/>
    <row r="938" ht="12.6" customHeight="1" x14ac:dyDescent="0.3"/>
    <row r="939" ht="12.6" customHeight="1" x14ac:dyDescent="0.3"/>
    <row r="940" ht="12.6" customHeight="1" x14ac:dyDescent="0.3"/>
    <row r="941" ht="12.6" customHeight="1" x14ac:dyDescent="0.3"/>
    <row r="942" ht="12.6" customHeight="1" x14ac:dyDescent="0.3"/>
    <row r="943" ht="12.6" customHeight="1" x14ac:dyDescent="0.3"/>
    <row r="944" ht="12.6" customHeight="1" x14ac:dyDescent="0.3"/>
    <row r="945" ht="12.6" customHeight="1" x14ac:dyDescent="0.3"/>
    <row r="946" ht="12.6" customHeight="1" x14ac:dyDescent="0.3"/>
    <row r="947" ht="12.6" customHeight="1" x14ac:dyDescent="0.3"/>
    <row r="948" ht="12.6" customHeight="1" x14ac:dyDescent="0.3"/>
    <row r="949" ht="12.6" customHeight="1" x14ac:dyDescent="0.3"/>
    <row r="950" ht="12.6" customHeight="1" x14ac:dyDescent="0.3"/>
    <row r="951" ht="12.6" customHeight="1" x14ac:dyDescent="0.3"/>
    <row r="952" ht="12.6" customHeight="1" x14ac:dyDescent="0.3"/>
    <row r="953" ht="12.6" customHeight="1" x14ac:dyDescent="0.3"/>
    <row r="954" ht="12.6" customHeight="1" x14ac:dyDescent="0.3"/>
    <row r="955" ht="12.6" customHeight="1" x14ac:dyDescent="0.3"/>
    <row r="956" ht="12.6" customHeight="1" x14ac:dyDescent="0.3"/>
    <row r="957" ht="12.6" customHeight="1" x14ac:dyDescent="0.3"/>
    <row r="958" ht="12.6" customHeight="1" x14ac:dyDescent="0.3"/>
    <row r="959" ht="12.6" customHeight="1" x14ac:dyDescent="0.3"/>
    <row r="960" ht="12.6" customHeight="1" x14ac:dyDescent="0.3"/>
    <row r="961" ht="12.6" customHeight="1" x14ac:dyDescent="0.3"/>
    <row r="962" ht="12.6" customHeight="1" x14ac:dyDescent="0.3"/>
    <row r="963" ht="12.6" customHeight="1" x14ac:dyDescent="0.3"/>
    <row r="964" ht="12.6" customHeight="1" x14ac:dyDescent="0.3"/>
    <row r="965" ht="12.6" customHeight="1" x14ac:dyDescent="0.3"/>
    <row r="966" ht="12.6" customHeight="1" x14ac:dyDescent="0.3"/>
    <row r="967" ht="12.6" customHeight="1" x14ac:dyDescent="0.3"/>
    <row r="968" ht="12.6" customHeight="1" x14ac:dyDescent="0.3"/>
    <row r="969" ht="12.6" customHeight="1" x14ac:dyDescent="0.3"/>
    <row r="970" ht="12.6" customHeight="1" x14ac:dyDescent="0.3"/>
    <row r="971" ht="12.6" customHeight="1" x14ac:dyDescent="0.3"/>
    <row r="972" ht="12.6" customHeight="1" x14ac:dyDescent="0.3"/>
    <row r="973" ht="12.6" customHeight="1" x14ac:dyDescent="0.3"/>
    <row r="974" ht="12.6" customHeight="1" x14ac:dyDescent="0.3"/>
    <row r="975" ht="12.6" customHeight="1" x14ac:dyDescent="0.3"/>
    <row r="976" ht="12.6" customHeight="1" x14ac:dyDescent="0.3"/>
    <row r="977" ht="12.6" customHeight="1" x14ac:dyDescent="0.3"/>
    <row r="978" ht="12.6" customHeight="1" x14ac:dyDescent="0.3"/>
    <row r="979" ht="12.6" customHeight="1" x14ac:dyDescent="0.3"/>
    <row r="980" ht="12.6" customHeight="1" x14ac:dyDescent="0.3"/>
    <row r="981" ht="12.6" customHeight="1" x14ac:dyDescent="0.3"/>
    <row r="982" ht="12.6" customHeight="1" x14ac:dyDescent="0.3"/>
    <row r="983" ht="12.6" customHeight="1" x14ac:dyDescent="0.3"/>
    <row r="984" ht="12.6" customHeight="1" x14ac:dyDescent="0.3"/>
    <row r="985" ht="12.6" customHeight="1" x14ac:dyDescent="0.3"/>
    <row r="986" ht="12.6" customHeight="1" x14ac:dyDescent="0.3"/>
    <row r="987" ht="12.6" customHeight="1" x14ac:dyDescent="0.3"/>
    <row r="988" ht="12.6" customHeight="1" x14ac:dyDescent="0.3"/>
    <row r="989" ht="12.6" customHeight="1" x14ac:dyDescent="0.3"/>
    <row r="990" ht="12.6" customHeight="1" x14ac:dyDescent="0.3"/>
    <row r="991" ht="12.6" customHeight="1" x14ac:dyDescent="0.3"/>
    <row r="992" ht="12.6" customHeight="1" x14ac:dyDescent="0.3"/>
    <row r="993" ht="12.6" customHeight="1" x14ac:dyDescent="0.3"/>
    <row r="994" ht="12.6" customHeight="1" x14ac:dyDescent="0.3"/>
    <row r="995" ht="12.6" customHeight="1" x14ac:dyDescent="0.3"/>
    <row r="996" ht="12.6" customHeight="1" x14ac:dyDescent="0.3"/>
    <row r="997" ht="12.6" customHeight="1" x14ac:dyDescent="0.3"/>
    <row r="998" ht="12.6" customHeight="1" x14ac:dyDescent="0.3"/>
    <row r="999" ht="12.6" customHeight="1" x14ac:dyDescent="0.3"/>
    <row r="1000" ht="12.6" customHeight="1" x14ac:dyDescent="0.3"/>
  </sheetData>
  <dataValidations count="1">
    <dataValidation type="list" allowBlank="1" sqref="B7" xr:uid="{00000000-0002-0000-0400-000000000000}">
      <formula1>"SMB,Mid,Enterprise"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>
      <selection activeCell="B14" sqref="B14"/>
    </sheetView>
  </sheetViews>
  <sheetFormatPr defaultColWidth="14.44140625" defaultRowHeight="14.4" x14ac:dyDescent="0.3"/>
  <cols>
    <col min="1" max="1" width="30" customWidth="1"/>
    <col min="2" max="4" width="34" customWidth="1"/>
    <col min="5" max="8" width="15" customWidth="1"/>
    <col min="9" max="26" width="8.6640625" customWidth="1"/>
  </cols>
  <sheetData>
    <row r="1" spans="1:8" ht="19.2" customHeight="1" x14ac:dyDescent="0.3">
      <c r="A1" s="1" t="s">
        <v>322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323</v>
      </c>
    </row>
    <row r="4" spans="1:8" x14ac:dyDescent="0.3">
      <c r="A4" s="7" t="s">
        <v>324</v>
      </c>
      <c r="B4" s="10"/>
      <c r="C4" s="10"/>
      <c r="D4" s="10"/>
      <c r="E4" s="10"/>
      <c r="F4" s="10"/>
      <c r="G4" s="10"/>
      <c r="H4" s="10"/>
    </row>
    <row r="5" spans="1:8" x14ac:dyDescent="0.3">
      <c r="A5" s="6" t="s">
        <v>325</v>
      </c>
      <c r="B5" s="5" t="s">
        <v>326</v>
      </c>
    </row>
    <row r="6" spans="1:8" x14ac:dyDescent="0.3">
      <c r="A6" s="6" t="s">
        <v>327</v>
      </c>
      <c r="B6" s="5" t="s">
        <v>328</v>
      </c>
    </row>
    <row r="7" spans="1:8" x14ac:dyDescent="0.3">
      <c r="A7" s="6" t="s">
        <v>329</v>
      </c>
      <c r="B7" s="5" t="s">
        <v>330</v>
      </c>
    </row>
    <row r="8" spans="1:8" x14ac:dyDescent="0.3">
      <c r="A8" s="6" t="s">
        <v>331</v>
      </c>
      <c r="B8" s="5" t="s">
        <v>332</v>
      </c>
      <c r="D8" s="3" t="s">
        <v>333</v>
      </c>
    </row>
    <row r="10" spans="1:8" x14ac:dyDescent="0.3">
      <c r="A10" s="7" t="s">
        <v>334</v>
      </c>
      <c r="B10" s="10"/>
      <c r="C10" s="10"/>
      <c r="D10" s="10"/>
      <c r="E10" s="10"/>
      <c r="F10" s="10"/>
      <c r="G10" s="10"/>
      <c r="H10" s="10"/>
    </row>
    <row r="11" spans="1:8" x14ac:dyDescent="0.3">
      <c r="A11" s="27"/>
      <c r="B11" s="27" t="s">
        <v>335</v>
      </c>
      <c r="C11" s="27" t="s">
        <v>336</v>
      </c>
      <c r="D11" s="27" t="s">
        <v>337</v>
      </c>
    </row>
    <row r="12" spans="1:8" ht="24" customHeight="1" x14ac:dyDescent="0.3">
      <c r="A12" s="6" t="s">
        <v>338</v>
      </c>
      <c r="B12" s="41" t="s">
        <v>298</v>
      </c>
      <c r="C12" s="41" t="s">
        <v>298</v>
      </c>
      <c r="D12" s="41" t="s">
        <v>298</v>
      </c>
    </row>
    <row r="13" spans="1:8" ht="27" customHeight="1" x14ac:dyDescent="0.3">
      <c r="A13" s="6" t="s">
        <v>339</v>
      </c>
      <c r="B13" s="41" t="s">
        <v>340</v>
      </c>
      <c r="C13" s="41" t="s">
        <v>341</v>
      </c>
      <c r="D13" s="41" t="s">
        <v>342</v>
      </c>
    </row>
    <row r="14" spans="1:8" ht="27" customHeight="1" x14ac:dyDescent="0.3">
      <c r="A14" s="6" t="s">
        <v>343</v>
      </c>
      <c r="B14" s="41" t="s">
        <v>344</v>
      </c>
      <c r="C14" s="41" t="s">
        <v>345</v>
      </c>
      <c r="D14" s="41" t="s">
        <v>346</v>
      </c>
    </row>
    <row r="15" spans="1:8" ht="24" customHeight="1" x14ac:dyDescent="0.3">
      <c r="A15" s="6" t="s">
        <v>347</v>
      </c>
      <c r="B15" s="41" t="s">
        <v>348</v>
      </c>
      <c r="C15" s="41" t="s">
        <v>349</v>
      </c>
      <c r="D15" s="41" t="s">
        <v>350</v>
      </c>
    </row>
    <row r="16" spans="1:8" ht="24" customHeight="1" x14ac:dyDescent="0.3">
      <c r="A16" s="6" t="s">
        <v>351</v>
      </c>
      <c r="B16" s="41" t="s">
        <v>352</v>
      </c>
      <c r="C16" s="41" t="s">
        <v>353</v>
      </c>
      <c r="D16" s="41" t="s">
        <v>354</v>
      </c>
    </row>
    <row r="17" spans="1:8" ht="34.200000000000003" customHeight="1" x14ac:dyDescent="0.3">
      <c r="A17" s="6" t="s">
        <v>355</v>
      </c>
      <c r="B17" s="41" t="s">
        <v>356</v>
      </c>
      <c r="C17" s="41" t="s">
        <v>357</v>
      </c>
      <c r="D17" s="41" t="s">
        <v>358</v>
      </c>
    </row>
    <row r="18" spans="1:8" ht="52.8" customHeight="1" x14ac:dyDescent="0.3">
      <c r="A18" s="6" t="s">
        <v>359</v>
      </c>
      <c r="B18" s="41" t="s">
        <v>360</v>
      </c>
      <c r="C18" s="41" t="s">
        <v>361</v>
      </c>
      <c r="D18" s="41" t="s">
        <v>362</v>
      </c>
    </row>
    <row r="19" spans="1:8" x14ac:dyDescent="0.3">
      <c r="A19" s="3" t="s">
        <v>363</v>
      </c>
    </row>
    <row r="21" spans="1:8" ht="12.6" customHeight="1" x14ac:dyDescent="0.3">
      <c r="A21" s="7" t="s">
        <v>364</v>
      </c>
      <c r="B21" s="10"/>
      <c r="C21" s="10"/>
      <c r="D21" s="10"/>
      <c r="E21" s="10"/>
      <c r="F21" s="10"/>
      <c r="G21" s="10"/>
      <c r="H21" s="10"/>
    </row>
    <row r="22" spans="1:8" ht="12.6" customHeight="1" x14ac:dyDescent="0.3">
      <c r="A22" s="27" t="s">
        <v>365</v>
      </c>
      <c r="B22" s="27" t="s">
        <v>366</v>
      </c>
      <c r="C22" s="27" t="s">
        <v>367</v>
      </c>
      <c r="D22" s="27" t="s">
        <v>368</v>
      </c>
    </row>
    <row r="23" spans="1:8" ht="27" customHeight="1" x14ac:dyDescent="0.3">
      <c r="A23" s="14" t="s">
        <v>369</v>
      </c>
      <c r="B23" s="41" t="s">
        <v>370</v>
      </c>
      <c r="C23" s="41" t="s">
        <v>371</v>
      </c>
      <c r="D23" s="41" t="s">
        <v>372</v>
      </c>
    </row>
    <row r="24" spans="1:8" ht="27" customHeight="1" x14ac:dyDescent="0.3">
      <c r="A24" s="14" t="s">
        <v>373</v>
      </c>
      <c r="B24" s="41" t="s">
        <v>374</v>
      </c>
      <c r="C24" s="41" t="s">
        <v>375</v>
      </c>
      <c r="D24" s="41" t="s">
        <v>376</v>
      </c>
    </row>
    <row r="25" spans="1:8" ht="27" customHeight="1" x14ac:dyDescent="0.3">
      <c r="A25" s="6" t="s">
        <v>377</v>
      </c>
      <c r="B25" s="41" t="s">
        <v>378</v>
      </c>
      <c r="C25" s="41" t="s">
        <v>379</v>
      </c>
      <c r="D25" s="41" t="s">
        <v>380</v>
      </c>
    </row>
    <row r="26" spans="1:8" ht="12.6" customHeight="1" x14ac:dyDescent="0.3">
      <c r="A26" s="3" t="s">
        <v>381</v>
      </c>
    </row>
    <row r="27" spans="1:8" ht="12.6" customHeight="1" x14ac:dyDescent="0.3"/>
    <row r="28" spans="1:8" ht="12.6" customHeight="1" x14ac:dyDescent="0.3">
      <c r="A28" s="7" t="s">
        <v>382</v>
      </c>
      <c r="B28" s="10" t="s">
        <v>383</v>
      </c>
      <c r="C28" s="10"/>
      <c r="D28" s="10"/>
      <c r="E28" s="10"/>
      <c r="F28" s="10"/>
      <c r="G28" s="10"/>
      <c r="H28" s="10"/>
    </row>
    <row r="29" spans="1:8" ht="12.6" customHeight="1" x14ac:dyDescent="0.3">
      <c r="A29" s="6" t="s">
        <v>384</v>
      </c>
      <c r="B29" s="5" t="s">
        <v>383</v>
      </c>
    </row>
    <row r="30" spans="1:8" ht="12.6" customHeight="1" x14ac:dyDescent="0.3">
      <c r="A30" s="6" t="s">
        <v>385</v>
      </c>
      <c r="B30" s="5" t="s">
        <v>386</v>
      </c>
    </row>
    <row r="31" spans="1:8" ht="12.6" customHeight="1" x14ac:dyDescent="0.3">
      <c r="A31" s="6" t="s">
        <v>387</v>
      </c>
      <c r="B31" s="5" t="s">
        <v>383</v>
      </c>
    </row>
    <row r="32" spans="1:8" ht="12.6" customHeight="1" x14ac:dyDescent="0.3">
      <c r="A32" s="6" t="s">
        <v>388</v>
      </c>
      <c r="B32" s="5" t="s">
        <v>389</v>
      </c>
    </row>
    <row r="33" ht="12.6" customHeight="1" x14ac:dyDescent="0.3"/>
    <row r="34" ht="12.6" customHeight="1" x14ac:dyDescent="0.3"/>
    <row r="35" ht="12.6" customHeight="1" x14ac:dyDescent="0.3"/>
    <row r="36" ht="12.6" customHeight="1" x14ac:dyDescent="0.3"/>
    <row r="37" ht="12.6" customHeight="1" x14ac:dyDescent="0.3"/>
    <row r="38" ht="12.6" customHeight="1" x14ac:dyDescent="0.3"/>
    <row r="39" ht="12.6" customHeight="1" x14ac:dyDescent="0.3"/>
    <row r="40" ht="12.6" customHeight="1" x14ac:dyDescent="0.3"/>
    <row r="41" ht="12.6" customHeight="1" x14ac:dyDescent="0.3"/>
    <row r="42" ht="12.6" customHeight="1" x14ac:dyDescent="0.3"/>
    <row r="43" ht="12.6" customHeight="1" x14ac:dyDescent="0.3"/>
    <row r="44" ht="12.6" customHeight="1" x14ac:dyDescent="0.3"/>
    <row r="45" ht="12.6" customHeight="1" x14ac:dyDescent="0.3"/>
    <row r="46" ht="12.6" customHeight="1" x14ac:dyDescent="0.3"/>
    <row r="47" ht="12.6" customHeight="1" x14ac:dyDescent="0.3"/>
    <row r="48" ht="12.6" customHeight="1" x14ac:dyDescent="0.3"/>
    <row r="49" ht="12.6" customHeight="1" x14ac:dyDescent="0.3"/>
    <row r="50" ht="12.6" customHeight="1" x14ac:dyDescent="0.3"/>
    <row r="51" ht="12.6" customHeight="1" x14ac:dyDescent="0.3"/>
    <row r="52" ht="12.6" customHeight="1" x14ac:dyDescent="0.3"/>
    <row r="53" ht="12.6" customHeight="1" x14ac:dyDescent="0.3"/>
    <row r="54" ht="12.6" customHeight="1" x14ac:dyDescent="0.3"/>
    <row r="55" ht="12.6" customHeight="1" x14ac:dyDescent="0.3"/>
    <row r="56" ht="12.6" customHeight="1" x14ac:dyDescent="0.3"/>
    <row r="57" ht="12.6" customHeight="1" x14ac:dyDescent="0.3"/>
    <row r="58" ht="12.6" customHeight="1" x14ac:dyDescent="0.3"/>
    <row r="59" ht="12.6" customHeight="1" x14ac:dyDescent="0.3"/>
    <row r="60" ht="12.6" customHeight="1" x14ac:dyDescent="0.3"/>
    <row r="61" ht="12.6" customHeight="1" x14ac:dyDescent="0.3"/>
    <row r="62" ht="12.6" customHeight="1" x14ac:dyDescent="0.3"/>
    <row r="63" ht="12.6" customHeight="1" x14ac:dyDescent="0.3"/>
    <row r="64" ht="12.6" customHeight="1" x14ac:dyDescent="0.3"/>
    <row r="65" ht="12.6" customHeight="1" x14ac:dyDescent="0.3"/>
    <row r="66" ht="12.6" customHeight="1" x14ac:dyDescent="0.3"/>
    <row r="67" ht="12.6" customHeight="1" x14ac:dyDescent="0.3"/>
    <row r="68" ht="12.6" customHeight="1" x14ac:dyDescent="0.3"/>
    <row r="69" ht="12.6" customHeight="1" x14ac:dyDescent="0.3"/>
    <row r="70" ht="12.6" customHeight="1" x14ac:dyDescent="0.3"/>
    <row r="71" ht="12.6" customHeight="1" x14ac:dyDescent="0.3"/>
    <row r="72" ht="12.6" customHeight="1" x14ac:dyDescent="0.3"/>
    <row r="73" ht="12.6" customHeight="1" x14ac:dyDescent="0.3"/>
    <row r="74" ht="12.6" customHeight="1" x14ac:dyDescent="0.3"/>
    <row r="75" ht="12.6" customHeight="1" x14ac:dyDescent="0.3"/>
    <row r="76" ht="12.6" customHeight="1" x14ac:dyDescent="0.3"/>
    <row r="77" ht="12.6" customHeight="1" x14ac:dyDescent="0.3"/>
    <row r="78" ht="12.6" customHeight="1" x14ac:dyDescent="0.3"/>
    <row r="79" ht="12.6" customHeight="1" x14ac:dyDescent="0.3"/>
    <row r="80" ht="12.6" customHeight="1" x14ac:dyDescent="0.3"/>
    <row r="81" ht="12.6" customHeight="1" x14ac:dyDescent="0.3"/>
    <row r="82" ht="12.6" customHeight="1" x14ac:dyDescent="0.3"/>
    <row r="83" ht="12.6" customHeight="1" x14ac:dyDescent="0.3"/>
    <row r="84" ht="12.6" customHeight="1" x14ac:dyDescent="0.3"/>
    <row r="85" ht="12.6" customHeight="1" x14ac:dyDescent="0.3"/>
    <row r="86" ht="12.6" customHeight="1" x14ac:dyDescent="0.3"/>
    <row r="87" ht="12.6" customHeight="1" x14ac:dyDescent="0.3"/>
    <row r="88" ht="12.6" customHeight="1" x14ac:dyDescent="0.3"/>
    <row r="89" ht="12.6" customHeight="1" x14ac:dyDescent="0.3"/>
    <row r="90" ht="12.6" customHeight="1" x14ac:dyDescent="0.3"/>
    <row r="91" ht="12.6" customHeight="1" x14ac:dyDescent="0.3"/>
    <row r="92" ht="12.6" customHeight="1" x14ac:dyDescent="0.3"/>
    <row r="93" ht="12.6" customHeight="1" x14ac:dyDescent="0.3"/>
    <row r="94" ht="12.6" customHeight="1" x14ac:dyDescent="0.3"/>
    <row r="95" ht="12.6" customHeight="1" x14ac:dyDescent="0.3"/>
    <row r="96" ht="12.6" customHeight="1" x14ac:dyDescent="0.3"/>
    <row r="97" ht="12.6" customHeight="1" x14ac:dyDescent="0.3"/>
    <row r="98" ht="12.6" customHeight="1" x14ac:dyDescent="0.3"/>
    <row r="99" ht="12.6" customHeight="1" x14ac:dyDescent="0.3"/>
    <row r="100" ht="12.6" customHeight="1" x14ac:dyDescent="0.3"/>
    <row r="101" ht="12.6" customHeight="1" x14ac:dyDescent="0.3"/>
    <row r="102" ht="12.6" customHeight="1" x14ac:dyDescent="0.3"/>
    <row r="103" ht="12.6" customHeight="1" x14ac:dyDescent="0.3"/>
    <row r="104" ht="12.6" customHeight="1" x14ac:dyDescent="0.3"/>
    <row r="105" ht="12.6" customHeight="1" x14ac:dyDescent="0.3"/>
    <row r="106" ht="12.6" customHeight="1" x14ac:dyDescent="0.3"/>
    <row r="107" ht="12.6" customHeight="1" x14ac:dyDescent="0.3"/>
    <row r="108" ht="12.6" customHeight="1" x14ac:dyDescent="0.3"/>
    <row r="109" ht="12.6" customHeight="1" x14ac:dyDescent="0.3"/>
    <row r="110" ht="12.6" customHeight="1" x14ac:dyDescent="0.3"/>
    <row r="111" ht="12.6" customHeight="1" x14ac:dyDescent="0.3"/>
    <row r="112" ht="12.6" customHeight="1" x14ac:dyDescent="0.3"/>
    <row r="113" ht="12.6" customHeight="1" x14ac:dyDescent="0.3"/>
    <row r="114" ht="12.6" customHeight="1" x14ac:dyDescent="0.3"/>
    <row r="115" ht="12.6" customHeight="1" x14ac:dyDescent="0.3"/>
    <row r="116" ht="12.6" customHeight="1" x14ac:dyDescent="0.3"/>
    <row r="117" ht="12.6" customHeight="1" x14ac:dyDescent="0.3"/>
    <row r="118" ht="12.6" customHeight="1" x14ac:dyDescent="0.3"/>
    <row r="119" ht="12.6" customHeight="1" x14ac:dyDescent="0.3"/>
    <row r="120" ht="12.6" customHeight="1" x14ac:dyDescent="0.3"/>
    <row r="121" ht="12.6" customHeight="1" x14ac:dyDescent="0.3"/>
    <row r="122" ht="12.6" customHeight="1" x14ac:dyDescent="0.3"/>
    <row r="123" ht="12.6" customHeight="1" x14ac:dyDescent="0.3"/>
    <row r="124" ht="12.6" customHeight="1" x14ac:dyDescent="0.3"/>
    <row r="125" ht="12.6" customHeight="1" x14ac:dyDescent="0.3"/>
    <row r="126" ht="12.6" customHeight="1" x14ac:dyDescent="0.3"/>
    <row r="127" ht="12.6" customHeight="1" x14ac:dyDescent="0.3"/>
    <row r="128" ht="12.6" customHeight="1" x14ac:dyDescent="0.3"/>
    <row r="129" ht="12.6" customHeight="1" x14ac:dyDescent="0.3"/>
    <row r="130" ht="12.6" customHeight="1" x14ac:dyDescent="0.3"/>
    <row r="131" ht="12.6" customHeight="1" x14ac:dyDescent="0.3"/>
    <row r="132" ht="12.6" customHeight="1" x14ac:dyDescent="0.3"/>
    <row r="133" ht="12.6" customHeight="1" x14ac:dyDescent="0.3"/>
    <row r="134" ht="12.6" customHeight="1" x14ac:dyDescent="0.3"/>
    <row r="135" ht="12.6" customHeight="1" x14ac:dyDescent="0.3"/>
    <row r="136" ht="12.6" customHeight="1" x14ac:dyDescent="0.3"/>
    <row r="137" ht="12.6" customHeight="1" x14ac:dyDescent="0.3"/>
    <row r="138" ht="12.6" customHeight="1" x14ac:dyDescent="0.3"/>
    <row r="139" ht="12.6" customHeight="1" x14ac:dyDescent="0.3"/>
    <row r="140" ht="12.6" customHeight="1" x14ac:dyDescent="0.3"/>
    <row r="141" ht="12.6" customHeight="1" x14ac:dyDescent="0.3"/>
    <row r="142" ht="12.6" customHeight="1" x14ac:dyDescent="0.3"/>
    <row r="143" ht="12.6" customHeight="1" x14ac:dyDescent="0.3"/>
    <row r="144" ht="12.6" customHeight="1" x14ac:dyDescent="0.3"/>
    <row r="145" ht="12.6" customHeight="1" x14ac:dyDescent="0.3"/>
    <row r="146" ht="12.6" customHeight="1" x14ac:dyDescent="0.3"/>
    <row r="147" ht="12.6" customHeight="1" x14ac:dyDescent="0.3"/>
    <row r="148" ht="12.6" customHeight="1" x14ac:dyDescent="0.3"/>
    <row r="149" ht="12.6" customHeight="1" x14ac:dyDescent="0.3"/>
    <row r="150" ht="12.6" customHeight="1" x14ac:dyDescent="0.3"/>
    <row r="151" ht="12.6" customHeight="1" x14ac:dyDescent="0.3"/>
    <row r="152" ht="12.6" customHeight="1" x14ac:dyDescent="0.3"/>
    <row r="153" ht="12.6" customHeight="1" x14ac:dyDescent="0.3"/>
    <row r="154" ht="12.6" customHeight="1" x14ac:dyDescent="0.3"/>
    <row r="155" ht="12.6" customHeight="1" x14ac:dyDescent="0.3"/>
    <row r="156" ht="12.6" customHeight="1" x14ac:dyDescent="0.3"/>
    <row r="157" ht="12.6" customHeight="1" x14ac:dyDescent="0.3"/>
    <row r="158" ht="12.6" customHeight="1" x14ac:dyDescent="0.3"/>
    <row r="159" ht="12.6" customHeight="1" x14ac:dyDescent="0.3"/>
    <row r="160" ht="12.6" customHeight="1" x14ac:dyDescent="0.3"/>
    <row r="161" ht="12.6" customHeight="1" x14ac:dyDescent="0.3"/>
    <row r="162" ht="12.6" customHeight="1" x14ac:dyDescent="0.3"/>
    <row r="163" ht="12.6" customHeight="1" x14ac:dyDescent="0.3"/>
    <row r="164" ht="12.6" customHeight="1" x14ac:dyDescent="0.3"/>
    <row r="165" ht="12.6" customHeight="1" x14ac:dyDescent="0.3"/>
    <row r="166" ht="12.6" customHeight="1" x14ac:dyDescent="0.3"/>
    <row r="167" ht="12.6" customHeight="1" x14ac:dyDescent="0.3"/>
    <row r="168" ht="12.6" customHeight="1" x14ac:dyDescent="0.3"/>
    <row r="169" ht="12.6" customHeight="1" x14ac:dyDescent="0.3"/>
    <row r="170" ht="12.6" customHeight="1" x14ac:dyDescent="0.3"/>
    <row r="171" ht="12.6" customHeight="1" x14ac:dyDescent="0.3"/>
    <row r="172" ht="12.6" customHeight="1" x14ac:dyDescent="0.3"/>
    <row r="173" ht="12.6" customHeight="1" x14ac:dyDescent="0.3"/>
    <row r="174" ht="12.6" customHeight="1" x14ac:dyDescent="0.3"/>
    <row r="175" ht="12.6" customHeight="1" x14ac:dyDescent="0.3"/>
    <row r="176" ht="12.6" customHeight="1" x14ac:dyDescent="0.3"/>
    <row r="177" ht="12.6" customHeight="1" x14ac:dyDescent="0.3"/>
    <row r="178" ht="12.6" customHeight="1" x14ac:dyDescent="0.3"/>
    <row r="179" ht="12.6" customHeight="1" x14ac:dyDescent="0.3"/>
    <row r="180" ht="12.6" customHeight="1" x14ac:dyDescent="0.3"/>
    <row r="181" ht="12.6" customHeight="1" x14ac:dyDescent="0.3"/>
    <row r="182" ht="12.6" customHeight="1" x14ac:dyDescent="0.3"/>
    <row r="183" ht="12.6" customHeight="1" x14ac:dyDescent="0.3"/>
    <row r="184" ht="12.6" customHeight="1" x14ac:dyDescent="0.3"/>
    <row r="185" ht="12.6" customHeight="1" x14ac:dyDescent="0.3"/>
    <row r="186" ht="12.6" customHeight="1" x14ac:dyDescent="0.3"/>
    <row r="187" ht="12.6" customHeight="1" x14ac:dyDescent="0.3"/>
    <row r="188" ht="12.6" customHeight="1" x14ac:dyDescent="0.3"/>
    <row r="189" ht="12.6" customHeight="1" x14ac:dyDescent="0.3"/>
    <row r="190" ht="12.6" customHeight="1" x14ac:dyDescent="0.3"/>
    <row r="191" ht="12.6" customHeight="1" x14ac:dyDescent="0.3"/>
    <row r="192" ht="12.6" customHeight="1" x14ac:dyDescent="0.3"/>
    <row r="193" ht="12.6" customHeight="1" x14ac:dyDescent="0.3"/>
    <row r="194" ht="12.6" customHeight="1" x14ac:dyDescent="0.3"/>
    <row r="195" ht="12.6" customHeight="1" x14ac:dyDescent="0.3"/>
    <row r="196" ht="12.6" customHeight="1" x14ac:dyDescent="0.3"/>
    <row r="197" ht="12.6" customHeight="1" x14ac:dyDescent="0.3"/>
    <row r="198" ht="12.6" customHeight="1" x14ac:dyDescent="0.3"/>
    <row r="199" ht="12.6" customHeight="1" x14ac:dyDescent="0.3"/>
    <row r="200" ht="12.6" customHeight="1" x14ac:dyDescent="0.3"/>
    <row r="201" ht="12.6" customHeight="1" x14ac:dyDescent="0.3"/>
    <row r="202" ht="12.6" customHeight="1" x14ac:dyDescent="0.3"/>
    <row r="203" ht="12.6" customHeight="1" x14ac:dyDescent="0.3"/>
    <row r="204" ht="12.6" customHeight="1" x14ac:dyDescent="0.3"/>
    <row r="205" ht="12.6" customHeight="1" x14ac:dyDescent="0.3"/>
    <row r="206" ht="12.6" customHeight="1" x14ac:dyDescent="0.3"/>
    <row r="207" ht="12.6" customHeight="1" x14ac:dyDescent="0.3"/>
    <row r="208" ht="12.6" customHeight="1" x14ac:dyDescent="0.3"/>
    <row r="209" ht="12.6" customHeight="1" x14ac:dyDescent="0.3"/>
    <row r="210" ht="12.6" customHeight="1" x14ac:dyDescent="0.3"/>
    <row r="211" ht="12.6" customHeight="1" x14ac:dyDescent="0.3"/>
    <row r="212" ht="12.6" customHeight="1" x14ac:dyDescent="0.3"/>
    <row r="213" ht="12.6" customHeight="1" x14ac:dyDescent="0.3"/>
    <row r="214" ht="12.6" customHeight="1" x14ac:dyDescent="0.3"/>
    <row r="215" ht="12.6" customHeight="1" x14ac:dyDescent="0.3"/>
    <row r="216" ht="12.6" customHeight="1" x14ac:dyDescent="0.3"/>
    <row r="217" ht="12.6" customHeight="1" x14ac:dyDescent="0.3"/>
    <row r="218" ht="12.6" customHeight="1" x14ac:dyDescent="0.3"/>
    <row r="219" ht="12.6" customHeight="1" x14ac:dyDescent="0.3"/>
    <row r="220" ht="12.6" customHeight="1" x14ac:dyDescent="0.3"/>
    <row r="221" ht="12.6" customHeight="1" x14ac:dyDescent="0.3"/>
    <row r="222" ht="12.6" customHeight="1" x14ac:dyDescent="0.3"/>
    <row r="223" ht="12.6" customHeight="1" x14ac:dyDescent="0.3"/>
    <row r="224" ht="12.6" customHeight="1" x14ac:dyDescent="0.3"/>
    <row r="225" ht="12.6" customHeight="1" x14ac:dyDescent="0.3"/>
    <row r="226" ht="12.6" customHeight="1" x14ac:dyDescent="0.3"/>
    <row r="227" ht="12.6" customHeight="1" x14ac:dyDescent="0.3"/>
    <row r="228" ht="12.6" customHeight="1" x14ac:dyDescent="0.3"/>
    <row r="229" ht="12.6" customHeight="1" x14ac:dyDescent="0.3"/>
    <row r="230" ht="12.6" customHeight="1" x14ac:dyDescent="0.3"/>
    <row r="231" ht="12.6" customHeight="1" x14ac:dyDescent="0.3"/>
    <row r="232" ht="12.6" customHeight="1" x14ac:dyDescent="0.3"/>
    <row r="233" ht="12.6" customHeight="1" x14ac:dyDescent="0.3"/>
    <row r="234" ht="12.6" customHeight="1" x14ac:dyDescent="0.3"/>
    <row r="235" ht="12.6" customHeight="1" x14ac:dyDescent="0.3"/>
    <row r="236" ht="12.6" customHeight="1" x14ac:dyDescent="0.3"/>
    <row r="237" ht="12.6" customHeight="1" x14ac:dyDescent="0.3"/>
    <row r="238" ht="12.6" customHeight="1" x14ac:dyDescent="0.3"/>
    <row r="239" ht="12.6" customHeight="1" x14ac:dyDescent="0.3"/>
    <row r="240" ht="12.6" customHeight="1" x14ac:dyDescent="0.3"/>
    <row r="241" ht="12.6" customHeight="1" x14ac:dyDescent="0.3"/>
    <row r="242" ht="12.6" customHeight="1" x14ac:dyDescent="0.3"/>
    <row r="243" ht="12.6" customHeight="1" x14ac:dyDescent="0.3"/>
    <row r="244" ht="12.6" customHeight="1" x14ac:dyDescent="0.3"/>
    <row r="245" ht="12.6" customHeight="1" x14ac:dyDescent="0.3"/>
    <row r="246" ht="12.6" customHeight="1" x14ac:dyDescent="0.3"/>
    <row r="247" ht="12.6" customHeight="1" x14ac:dyDescent="0.3"/>
    <row r="248" ht="12.6" customHeight="1" x14ac:dyDescent="0.3"/>
    <row r="249" ht="12.6" customHeight="1" x14ac:dyDescent="0.3"/>
    <row r="250" ht="12.6" customHeight="1" x14ac:dyDescent="0.3"/>
    <row r="251" ht="12.6" customHeight="1" x14ac:dyDescent="0.3"/>
    <row r="252" ht="12.6" customHeight="1" x14ac:dyDescent="0.3"/>
    <row r="253" ht="12.6" customHeight="1" x14ac:dyDescent="0.3"/>
    <row r="254" ht="12.6" customHeight="1" x14ac:dyDescent="0.3"/>
    <row r="255" ht="12.6" customHeight="1" x14ac:dyDescent="0.3"/>
    <row r="256" ht="12.6" customHeight="1" x14ac:dyDescent="0.3"/>
    <row r="257" ht="12.6" customHeight="1" x14ac:dyDescent="0.3"/>
    <row r="258" ht="12.6" customHeight="1" x14ac:dyDescent="0.3"/>
    <row r="259" ht="12.6" customHeight="1" x14ac:dyDescent="0.3"/>
    <row r="260" ht="12.6" customHeight="1" x14ac:dyDescent="0.3"/>
    <row r="261" ht="12.6" customHeight="1" x14ac:dyDescent="0.3"/>
    <row r="262" ht="12.6" customHeight="1" x14ac:dyDescent="0.3"/>
    <row r="263" ht="12.6" customHeight="1" x14ac:dyDescent="0.3"/>
    <row r="264" ht="12.6" customHeight="1" x14ac:dyDescent="0.3"/>
    <row r="265" ht="12.6" customHeight="1" x14ac:dyDescent="0.3"/>
    <row r="266" ht="12.6" customHeight="1" x14ac:dyDescent="0.3"/>
    <row r="267" ht="12.6" customHeight="1" x14ac:dyDescent="0.3"/>
    <row r="268" ht="12.6" customHeight="1" x14ac:dyDescent="0.3"/>
    <row r="269" ht="12.6" customHeight="1" x14ac:dyDescent="0.3"/>
    <row r="270" ht="12.6" customHeight="1" x14ac:dyDescent="0.3"/>
    <row r="271" ht="12.6" customHeight="1" x14ac:dyDescent="0.3"/>
    <row r="272" ht="12.6" customHeight="1" x14ac:dyDescent="0.3"/>
    <row r="273" ht="12.6" customHeight="1" x14ac:dyDescent="0.3"/>
    <row r="274" ht="12.6" customHeight="1" x14ac:dyDescent="0.3"/>
    <row r="275" ht="12.6" customHeight="1" x14ac:dyDescent="0.3"/>
    <row r="276" ht="12.6" customHeight="1" x14ac:dyDescent="0.3"/>
    <row r="277" ht="12.6" customHeight="1" x14ac:dyDescent="0.3"/>
    <row r="278" ht="12.6" customHeight="1" x14ac:dyDescent="0.3"/>
    <row r="279" ht="12.6" customHeight="1" x14ac:dyDescent="0.3"/>
    <row r="280" ht="12.6" customHeight="1" x14ac:dyDescent="0.3"/>
    <row r="281" ht="12.6" customHeight="1" x14ac:dyDescent="0.3"/>
    <row r="282" ht="12.6" customHeight="1" x14ac:dyDescent="0.3"/>
    <row r="283" ht="12.6" customHeight="1" x14ac:dyDescent="0.3"/>
    <row r="284" ht="12.6" customHeight="1" x14ac:dyDescent="0.3"/>
    <row r="285" ht="12.6" customHeight="1" x14ac:dyDescent="0.3"/>
    <row r="286" ht="12.6" customHeight="1" x14ac:dyDescent="0.3"/>
    <row r="287" ht="12.6" customHeight="1" x14ac:dyDescent="0.3"/>
    <row r="288" ht="12.6" customHeight="1" x14ac:dyDescent="0.3"/>
    <row r="289" ht="12.6" customHeight="1" x14ac:dyDescent="0.3"/>
    <row r="290" ht="12.6" customHeight="1" x14ac:dyDescent="0.3"/>
    <row r="291" ht="12.6" customHeight="1" x14ac:dyDescent="0.3"/>
    <row r="292" ht="12.6" customHeight="1" x14ac:dyDescent="0.3"/>
    <row r="293" ht="12.6" customHeight="1" x14ac:dyDescent="0.3"/>
    <row r="294" ht="12.6" customHeight="1" x14ac:dyDescent="0.3"/>
    <row r="295" ht="12.6" customHeight="1" x14ac:dyDescent="0.3"/>
    <row r="296" ht="12.6" customHeight="1" x14ac:dyDescent="0.3"/>
    <row r="297" ht="12.6" customHeight="1" x14ac:dyDescent="0.3"/>
    <row r="298" ht="12.6" customHeight="1" x14ac:dyDescent="0.3"/>
    <row r="299" ht="12.6" customHeight="1" x14ac:dyDescent="0.3"/>
    <row r="300" ht="12.6" customHeight="1" x14ac:dyDescent="0.3"/>
    <row r="301" ht="12.6" customHeight="1" x14ac:dyDescent="0.3"/>
    <row r="302" ht="12.6" customHeight="1" x14ac:dyDescent="0.3"/>
    <row r="303" ht="12.6" customHeight="1" x14ac:dyDescent="0.3"/>
    <row r="304" ht="12.6" customHeight="1" x14ac:dyDescent="0.3"/>
    <row r="305" ht="12.6" customHeight="1" x14ac:dyDescent="0.3"/>
    <row r="306" ht="12.6" customHeight="1" x14ac:dyDescent="0.3"/>
    <row r="307" ht="12.6" customHeight="1" x14ac:dyDescent="0.3"/>
    <row r="308" ht="12.6" customHeight="1" x14ac:dyDescent="0.3"/>
    <row r="309" ht="12.6" customHeight="1" x14ac:dyDescent="0.3"/>
    <row r="310" ht="12.6" customHeight="1" x14ac:dyDescent="0.3"/>
    <row r="311" ht="12.6" customHeight="1" x14ac:dyDescent="0.3"/>
    <row r="312" ht="12.6" customHeight="1" x14ac:dyDescent="0.3"/>
    <row r="313" ht="12.6" customHeight="1" x14ac:dyDescent="0.3"/>
    <row r="314" ht="12.6" customHeight="1" x14ac:dyDescent="0.3"/>
    <row r="315" ht="12.6" customHeight="1" x14ac:dyDescent="0.3"/>
    <row r="316" ht="12.6" customHeight="1" x14ac:dyDescent="0.3"/>
    <row r="317" ht="12.6" customHeight="1" x14ac:dyDescent="0.3"/>
    <row r="318" ht="12.6" customHeight="1" x14ac:dyDescent="0.3"/>
    <row r="319" ht="12.6" customHeight="1" x14ac:dyDescent="0.3"/>
    <row r="320" ht="12.6" customHeight="1" x14ac:dyDescent="0.3"/>
    <row r="321" ht="12.6" customHeight="1" x14ac:dyDescent="0.3"/>
    <row r="322" ht="12.6" customHeight="1" x14ac:dyDescent="0.3"/>
    <row r="323" ht="12.6" customHeight="1" x14ac:dyDescent="0.3"/>
    <row r="324" ht="12.6" customHeight="1" x14ac:dyDescent="0.3"/>
    <row r="325" ht="12.6" customHeight="1" x14ac:dyDescent="0.3"/>
    <row r="326" ht="12.6" customHeight="1" x14ac:dyDescent="0.3"/>
    <row r="327" ht="12.6" customHeight="1" x14ac:dyDescent="0.3"/>
    <row r="328" ht="12.6" customHeight="1" x14ac:dyDescent="0.3"/>
    <row r="329" ht="12.6" customHeight="1" x14ac:dyDescent="0.3"/>
    <row r="330" ht="12.6" customHeight="1" x14ac:dyDescent="0.3"/>
    <row r="331" ht="12.6" customHeight="1" x14ac:dyDescent="0.3"/>
    <row r="332" ht="12.6" customHeight="1" x14ac:dyDescent="0.3"/>
    <row r="333" ht="12.6" customHeight="1" x14ac:dyDescent="0.3"/>
    <row r="334" ht="12.6" customHeight="1" x14ac:dyDescent="0.3"/>
    <row r="335" ht="12.6" customHeight="1" x14ac:dyDescent="0.3"/>
    <row r="336" ht="12.6" customHeight="1" x14ac:dyDescent="0.3"/>
    <row r="337" ht="12.6" customHeight="1" x14ac:dyDescent="0.3"/>
    <row r="338" ht="12.6" customHeight="1" x14ac:dyDescent="0.3"/>
    <row r="339" ht="12.6" customHeight="1" x14ac:dyDescent="0.3"/>
    <row r="340" ht="12.6" customHeight="1" x14ac:dyDescent="0.3"/>
    <row r="341" ht="12.6" customHeight="1" x14ac:dyDescent="0.3"/>
    <row r="342" ht="12.6" customHeight="1" x14ac:dyDescent="0.3"/>
    <row r="343" ht="12.6" customHeight="1" x14ac:dyDescent="0.3"/>
    <row r="344" ht="12.6" customHeight="1" x14ac:dyDescent="0.3"/>
    <row r="345" ht="12.6" customHeight="1" x14ac:dyDescent="0.3"/>
    <row r="346" ht="12.6" customHeight="1" x14ac:dyDescent="0.3"/>
    <row r="347" ht="12.6" customHeight="1" x14ac:dyDescent="0.3"/>
    <row r="348" ht="12.6" customHeight="1" x14ac:dyDescent="0.3"/>
    <row r="349" ht="12.6" customHeight="1" x14ac:dyDescent="0.3"/>
    <row r="350" ht="12.6" customHeight="1" x14ac:dyDescent="0.3"/>
    <row r="351" ht="12.6" customHeight="1" x14ac:dyDescent="0.3"/>
    <row r="352" ht="12.6" customHeight="1" x14ac:dyDescent="0.3"/>
    <row r="353" ht="12.6" customHeight="1" x14ac:dyDescent="0.3"/>
    <row r="354" ht="12.6" customHeight="1" x14ac:dyDescent="0.3"/>
    <row r="355" ht="12.6" customHeight="1" x14ac:dyDescent="0.3"/>
    <row r="356" ht="12.6" customHeight="1" x14ac:dyDescent="0.3"/>
    <row r="357" ht="12.6" customHeight="1" x14ac:dyDescent="0.3"/>
    <row r="358" ht="12.6" customHeight="1" x14ac:dyDescent="0.3"/>
    <row r="359" ht="12.6" customHeight="1" x14ac:dyDescent="0.3"/>
    <row r="360" ht="12.6" customHeight="1" x14ac:dyDescent="0.3"/>
    <row r="361" ht="12.6" customHeight="1" x14ac:dyDescent="0.3"/>
    <row r="362" ht="12.6" customHeight="1" x14ac:dyDescent="0.3"/>
    <row r="363" ht="12.6" customHeight="1" x14ac:dyDescent="0.3"/>
    <row r="364" ht="12.6" customHeight="1" x14ac:dyDescent="0.3"/>
    <row r="365" ht="12.6" customHeight="1" x14ac:dyDescent="0.3"/>
    <row r="366" ht="12.6" customHeight="1" x14ac:dyDescent="0.3"/>
    <row r="367" ht="12.6" customHeight="1" x14ac:dyDescent="0.3"/>
    <row r="368" ht="12.6" customHeight="1" x14ac:dyDescent="0.3"/>
    <row r="369" ht="12.6" customHeight="1" x14ac:dyDescent="0.3"/>
    <row r="370" ht="12.6" customHeight="1" x14ac:dyDescent="0.3"/>
    <row r="371" ht="12.6" customHeight="1" x14ac:dyDescent="0.3"/>
    <row r="372" ht="12.6" customHeight="1" x14ac:dyDescent="0.3"/>
    <row r="373" ht="12.6" customHeight="1" x14ac:dyDescent="0.3"/>
    <row r="374" ht="12.6" customHeight="1" x14ac:dyDescent="0.3"/>
    <row r="375" ht="12.6" customHeight="1" x14ac:dyDescent="0.3"/>
    <row r="376" ht="12.6" customHeight="1" x14ac:dyDescent="0.3"/>
    <row r="377" ht="12.6" customHeight="1" x14ac:dyDescent="0.3"/>
    <row r="378" ht="12.6" customHeight="1" x14ac:dyDescent="0.3"/>
    <row r="379" ht="12.6" customHeight="1" x14ac:dyDescent="0.3"/>
    <row r="380" ht="12.6" customHeight="1" x14ac:dyDescent="0.3"/>
    <row r="381" ht="12.6" customHeight="1" x14ac:dyDescent="0.3"/>
    <row r="382" ht="12.6" customHeight="1" x14ac:dyDescent="0.3"/>
    <row r="383" ht="12.6" customHeight="1" x14ac:dyDescent="0.3"/>
    <row r="384" ht="12.6" customHeight="1" x14ac:dyDescent="0.3"/>
    <row r="385" ht="12.6" customHeight="1" x14ac:dyDescent="0.3"/>
    <row r="386" ht="12.6" customHeight="1" x14ac:dyDescent="0.3"/>
    <row r="387" ht="12.6" customHeight="1" x14ac:dyDescent="0.3"/>
    <row r="388" ht="12.6" customHeight="1" x14ac:dyDescent="0.3"/>
    <row r="389" ht="12.6" customHeight="1" x14ac:dyDescent="0.3"/>
    <row r="390" ht="12.6" customHeight="1" x14ac:dyDescent="0.3"/>
    <row r="391" ht="12.6" customHeight="1" x14ac:dyDescent="0.3"/>
    <row r="392" ht="12.6" customHeight="1" x14ac:dyDescent="0.3"/>
    <row r="393" ht="12.6" customHeight="1" x14ac:dyDescent="0.3"/>
    <row r="394" ht="12.6" customHeight="1" x14ac:dyDescent="0.3"/>
    <row r="395" ht="12.6" customHeight="1" x14ac:dyDescent="0.3"/>
    <row r="396" ht="12.6" customHeight="1" x14ac:dyDescent="0.3"/>
    <row r="397" ht="12.6" customHeight="1" x14ac:dyDescent="0.3"/>
    <row r="398" ht="12.6" customHeight="1" x14ac:dyDescent="0.3"/>
    <row r="399" ht="12.6" customHeight="1" x14ac:dyDescent="0.3"/>
    <row r="400" ht="12.6" customHeight="1" x14ac:dyDescent="0.3"/>
    <row r="401" ht="12.6" customHeight="1" x14ac:dyDescent="0.3"/>
    <row r="402" ht="12.6" customHeight="1" x14ac:dyDescent="0.3"/>
    <row r="403" ht="12.6" customHeight="1" x14ac:dyDescent="0.3"/>
    <row r="404" ht="12.6" customHeight="1" x14ac:dyDescent="0.3"/>
    <row r="405" ht="12.6" customHeight="1" x14ac:dyDescent="0.3"/>
    <row r="406" ht="12.6" customHeight="1" x14ac:dyDescent="0.3"/>
    <row r="407" ht="12.6" customHeight="1" x14ac:dyDescent="0.3"/>
    <row r="408" ht="12.6" customHeight="1" x14ac:dyDescent="0.3"/>
    <row r="409" ht="12.6" customHeight="1" x14ac:dyDescent="0.3"/>
    <row r="410" ht="12.6" customHeight="1" x14ac:dyDescent="0.3"/>
    <row r="411" ht="12.6" customHeight="1" x14ac:dyDescent="0.3"/>
    <row r="412" ht="12.6" customHeight="1" x14ac:dyDescent="0.3"/>
    <row r="413" ht="12.6" customHeight="1" x14ac:dyDescent="0.3"/>
    <row r="414" ht="12.6" customHeight="1" x14ac:dyDescent="0.3"/>
    <row r="415" ht="12.6" customHeight="1" x14ac:dyDescent="0.3"/>
    <row r="416" ht="12.6" customHeight="1" x14ac:dyDescent="0.3"/>
    <row r="417" ht="12.6" customHeight="1" x14ac:dyDescent="0.3"/>
    <row r="418" ht="12.6" customHeight="1" x14ac:dyDescent="0.3"/>
    <row r="419" ht="12.6" customHeight="1" x14ac:dyDescent="0.3"/>
    <row r="420" ht="12.6" customHeight="1" x14ac:dyDescent="0.3"/>
    <row r="421" ht="12.6" customHeight="1" x14ac:dyDescent="0.3"/>
    <row r="422" ht="12.6" customHeight="1" x14ac:dyDescent="0.3"/>
    <row r="423" ht="12.6" customHeight="1" x14ac:dyDescent="0.3"/>
    <row r="424" ht="12.6" customHeight="1" x14ac:dyDescent="0.3"/>
    <row r="425" ht="12.6" customHeight="1" x14ac:dyDescent="0.3"/>
    <row r="426" ht="12.6" customHeight="1" x14ac:dyDescent="0.3"/>
    <row r="427" ht="12.6" customHeight="1" x14ac:dyDescent="0.3"/>
    <row r="428" ht="12.6" customHeight="1" x14ac:dyDescent="0.3"/>
    <row r="429" ht="12.6" customHeight="1" x14ac:dyDescent="0.3"/>
    <row r="430" ht="12.6" customHeight="1" x14ac:dyDescent="0.3"/>
    <row r="431" ht="12.6" customHeight="1" x14ac:dyDescent="0.3"/>
    <row r="432" ht="12.6" customHeight="1" x14ac:dyDescent="0.3"/>
    <row r="433" ht="12.6" customHeight="1" x14ac:dyDescent="0.3"/>
    <row r="434" ht="12.6" customHeight="1" x14ac:dyDescent="0.3"/>
    <row r="435" ht="12.6" customHeight="1" x14ac:dyDescent="0.3"/>
    <row r="436" ht="12.6" customHeight="1" x14ac:dyDescent="0.3"/>
    <row r="437" ht="12.6" customHeight="1" x14ac:dyDescent="0.3"/>
    <row r="438" ht="12.6" customHeight="1" x14ac:dyDescent="0.3"/>
    <row r="439" ht="12.6" customHeight="1" x14ac:dyDescent="0.3"/>
    <row r="440" ht="12.6" customHeight="1" x14ac:dyDescent="0.3"/>
    <row r="441" ht="12.6" customHeight="1" x14ac:dyDescent="0.3"/>
    <row r="442" ht="12.6" customHeight="1" x14ac:dyDescent="0.3"/>
    <row r="443" ht="12.6" customHeight="1" x14ac:dyDescent="0.3"/>
    <row r="444" ht="12.6" customHeight="1" x14ac:dyDescent="0.3"/>
    <row r="445" ht="12.6" customHeight="1" x14ac:dyDescent="0.3"/>
    <row r="446" ht="12.6" customHeight="1" x14ac:dyDescent="0.3"/>
    <row r="447" ht="12.6" customHeight="1" x14ac:dyDescent="0.3"/>
    <row r="448" ht="12.6" customHeight="1" x14ac:dyDescent="0.3"/>
    <row r="449" ht="12.6" customHeight="1" x14ac:dyDescent="0.3"/>
    <row r="450" ht="12.6" customHeight="1" x14ac:dyDescent="0.3"/>
    <row r="451" ht="12.6" customHeight="1" x14ac:dyDescent="0.3"/>
    <row r="452" ht="12.6" customHeight="1" x14ac:dyDescent="0.3"/>
    <row r="453" ht="12.6" customHeight="1" x14ac:dyDescent="0.3"/>
    <row r="454" ht="12.6" customHeight="1" x14ac:dyDescent="0.3"/>
    <row r="455" ht="12.6" customHeight="1" x14ac:dyDescent="0.3"/>
    <row r="456" ht="12.6" customHeight="1" x14ac:dyDescent="0.3"/>
    <row r="457" ht="12.6" customHeight="1" x14ac:dyDescent="0.3"/>
    <row r="458" ht="12.6" customHeight="1" x14ac:dyDescent="0.3"/>
    <row r="459" ht="12.6" customHeight="1" x14ac:dyDescent="0.3"/>
    <row r="460" ht="12.6" customHeight="1" x14ac:dyDescent="0.3"/>
    <row r="461" ht="12.6" customHeight="1" x14ac:dyDescent="0.3"/>
    <row r="462" ht="12.6" customHeight="1" x14ac:dyDescent="0.3"/>
    <row r="463" ht="12.6" customHeight="1" x14ac:dyDescent="0.3"/>
    <row r="464" ht="12.6" customHeight="1" x14ac:dyDescent="0.3"/>
    <row r="465" ht="12.6" customHeight="1" x14ac:dyDescent="0.3"/>
    <row r="466" ht="12.6" customHeight="1" x14ac:dyDescent="0.3"/>
    <row r="467" ht="12.6" customHeight="1" x14ac:dyDescent="0.3"/>
    <row r="468" ht="12.6" customHeight="1" x14ac:dyDescent="0.3"/>
    <row r="469" ht="12.6" customHeight="1" x14ac:dyDescent="0.3"/>
    <row r="470" ht="12.6" customHeight="1" x14ac:dyDescent="0.3"/>
    <row r="471" ht="12.6" customHeight="1" x14ac:dyDescent="0.3"/>
    <row r="472" ht="12.6" customHeight="1" x14ac:dyDescent="0.3"/>
    <row r="473" ht="12.6" customHeight="1" x14ac:dyDescent="0.3"/>
    <row r="474" ht="12.6" customHeight="1" x14ac:dyDescent="0.3"/>
    <row r="475" ht="12.6" customHeight="1" x14ac:dyDescent="0.3"/>
    <row r="476" ht="12.6" customHeight="1" x14ac:dyDescent="0.3"/>
    <row r="477" ht="12.6" customHeight="1" x14ac:dyDescent="0.3"/>
    <row r="478" ht="12.6" customHeight="1" x14ac:dyDescent="0.3"/>
    <row r="479" ht="12.6" customHeight="1" x14ac:dyDescent="0.3"/>
    <row r="480" ht="12.6" customHeight="1" x14ac:dyDescent="0.3"/>
    <row r="481" ht="12.6" customHeight="1" x14ac:dyDescent="0.3"/>
    <row r="482" ht="12.6" customHeight="1" x14ac:dyDescent="0.3"/>
    <row r="483" ht="12.6" customHeight="1" x14ac:dyDescent="0.3"/>
    <row r="484" ht="12.6" customHeight="1" x14ac:dyDescent="0.3"/>
    <row r="485" ht="12.6" customHeight="1" x14ac:dyDescent="0.3"/>
    <row r="486" ht="12.6" customHeight="1" x14ac:dyDescent="0.3"/>
    <row r="487" ht="12.6" customHeight="1" x14ac:dyDescent="0.3"/>
    <row r="488" ht="12.6" customHeight="1" x14ac:dyDescent="0.3"/>
    <row r="489" ht="12.6" customHeight="1" x14ac:dyDescent="0.3"/>
    <row r="490" ht="12.6" customHeight="1" x14ac:dyDescent="0.3"/>
    <row r="491" ht="12.6" customHeight="1" x14ac:dyDescent="0.3"/>
    <row r="492" ht="12.6" customHeight="1" x14ac:dyDescent="0.3"/>
    <row r="493" ht="12.6" customHeight="1" x14ac:dyDescent="0.3"/>
    <row r="494" ht="12.6" customHeight="1" x14ac:dyDescent="0.3"/>
    <row r="495" ht="12.6" customHeight="1" x14ac:dyDescent="0.3"/>
    <row r="496" ht="12.6" customHeight="1" x14ac:dyDescent="0.3"/>
    <row r="497" ht="12.6" customHeight="1" x14ac:dyDescent="0.3"/>
    <row r="498" ht="12.6" customHeight="1" x14ac:dyDescent="0.3"/>
    <row r="499" ht="12.6" customHeight="1" x14ac:dyDescent="0.3"/>
    <row r="500" ht="12.6" customHeight="1" x14ac:dyDescent="0.3"/>
    <row r="501" ht="12.6" customHeight="1" x14ac:dyDescent="0.3"/>
    <row r="502" ht="12.6" customHeight="1" x14ac:dyDescent="0.3"/>
    <row r="503" ht="12.6" customHeight="1" x14ac:dyDescent="0.3"/>
    <row r="504" ht="12.6" customHeight="1" x14ac:dyDescent="0.3"/>
    <row r="505" ht="12.6" customHeight="1" x14ac:dyDescent="0.3"/>
    <row r="506" ht="12.6" customHeight="1" x14ac:dyDescent="0.3"/>
    <row r="507" ht="12.6" customHeight="1" x14ac:dyDescent="0.3"/>
    <row r="508" ht="12.6" customHeight="1" x14ac:dyDescent="0.3"/>
    <row r="509" ht="12.6" customHeight="1" x14ac:dyDescent="0.3"/>
    <row r="510" ht="12.6" customHeight="1" x14ac:dyDescent="0.3"/>
    <row r="511" ht="12.6" customHeight="1" x14ac:dyDescent="0.3"/>
    <row r="512" ht="12.6" customHeight="1" x14ac:dyDescent="0.3"/>
    <row r="513" ht="12.6" customHeight="1" x14ac:dyDescent="0.3"/>
    <row r="514" ht="12.6" customHeight="1" x14ac:dyDescent="0.3"/>
    <row r="515" ht="12.6" customHeight="1" x14ac:dyDescent="0.3"/>
    <row r="516" ht="12.6" customHeight="1" x14ac:dyDescent="0.3"/>
    <row r="517" ht="12.6" customHeight="1" x14ac:dyDescent="0.3"/>
    <row r="518" ht="12.6" customHeight="1" x14ac:dyDescent="0.3"/>
    <row r="519" ht="12.6" customHeight="1" x14ac:dyDescent="0.3"/>
    <row r="520" ht="12.6" customHeight="1" x14ac:dyDescent="0.3"/>
    <row r="521" ht="12.6" customHeight="1" x14ac:dyDescent="0.3"/>
    <row r="522" ht="12.6" customHeight="1" x14ac:dyDescent="0.3"/>
    <row r="523" ht="12.6" customHeight="1" x14ac:dyDescent="0.3"/>
    <row r="524" ht="12.6" customHeight="1" x14ac:dyDescent="0.3"/>
    <row r="525" ht="12.6" customHeight="1" x14ac:dyDescent="0.3"/>
    <row r="526" ht="12.6" customHeight="1" x14ac:dyDescent="0.3"/>
    <row r="527" ht="12.6" customHeight="1" x14ac:dyDescent="0.3"/>
    <row r="528" ht="12.6" customHeight="1" x14ac:dyDescent="0.3"/>
    <row r="529" ht="12.6" customHeight="1" x14ac:dyDescent="0.3"/>
    <row r="530" ht="12.6" customHeight="1" x14ac:dyDescent="0.3"/>
    <row r="531" ht="12.6" customHeight="1" x14ac:dyDescent="0.3"/>
    <row r="532" ht="12.6" customHeight="1" x14ac:dyDescent="0.3"/>
    <row r="533" ht="12.6" customHeight="1" x14ac:dyDescent="0.3"/>
    <row r="534" ht="12.6" customHeight="1" x14ac:dyDescent="0.3"/>
    <row r="535" ht="12.6" customHeight="1" x14ac:dyDescent="0.3"/>
    <row r="536" ht="12.6" customHeight="1" x14ac:dyDescent="0.3"/>
    <row r="537" ht="12.6" customHeight="1" x14ac:dyDescent="0.3"/>
    <row r="538" ht="12.6" customHeight="1" x14ac:dyDescent="0.3"/>
    <row r="539" ht="12.6" customHeight="1" x14ac:dyDescent="0.3"/>
    <row r="540" ht="12.6" customHeight="1" x14ac:dyDescent="0.3"/>
    <row r="541" ht="12.6" customHeight="1" x14ac:dyDescent="0.3"/>
    <row r="542" ht="12.6" customHeight="1" x14ac:dyDescent="0.3"/>
    <row r="543" ht="12.6" customHeight="1" x14ac:dyDescent="0.3"/>
    <row r="544" ht="12.6" customHeight="1" x14ac:dyDescent="0.3"/>
    <row r="545" ht="12.6" customHeight="1" x14ac:dyDescent="0.3"/>
    <row r="546" ht="12.6" customHeight="1" x14ac:dyDescent="0.3"/>
    <row r="547" ht="12.6" customHeight="1" x14ac:dyDescent="0.3"/>
    <row r="548" ht="12.6" customHeight="1" x14ac:dyDescent="0.3"/>
    <row r="549" ht="12.6" customHeight="1" x14ac:dyDescent="0.3"/>
    <row r="550" ht="12.6" customHeight="1" x14ac:dyDescent="0.3"/>
    <row r="551" ht="12.6" customHeight="1" x14ac:dyDescent="0.3"/>
    <row r="552" ht="12.6" customHeight="1" x14ac:dyDescent="0.3"/>
    <row r="553" ht="12.6" customHeight="1" x14ac:dyDescent="0.3"/>
    <row r="554" ht="12.6" customHeight="1" x14ac:dyDescent="0.3"/>
    <row r="555" ht="12.6" customHeight="1" x14ac:dyDescent="0.3"/>
    <row r="556" ht="12.6" customHeight="1" x14ac:dyDescent="0.3"/>
    <row r="557" ht="12.6" customHeight="1" x14ac:dyDescent="0.3"/>
    <row r="558" ht="12.6" customHeight="1" x14ac:dyDescent="0.3"/>
    <row r="559" ht="12.6" customHeight="1" x14ac:dyDescent="0.3"/>
    <row r="560" ht="12.6" customHeight="1" x14ac:dyDescent="0.3"/>
    <row r="561" ht="12.6" customHeight="1" x14ac:dyDescent="0.3"/>
    <row r="562" ht="12.6" customHeight="1" x14ac:dyDescent="0.3"/>
    <row r="563" ht="12.6" customHeight="1" x14ac:dyDescent="0.3"/>
    <row r="564" ht="12.6" customHeight="1" x14ac:dyDescent="0.3"/>
    <row r="565" ht="12.6" customHeight="1" x14ac:dyDescent="0.3"/>
    <row r="566" ht="12.6" customHeight="1" x14ac:dyDescent="0.3"/>
    <row r="567" ht="12.6" customHeight="1" x14ac:dyDescent="0.3"/>
    <row r="568" ht="12.6" customHeight="1" x14ac:dyDescent="0.3"/>
    <row r="569" ht="12.6" customHeight="1" x14ac:dyDescent="0.3"/>
    <row r="570" ht="12.6" customHeight="1" x14ac:dyDescent="0.3"/>
    <row r="571" ht="12.6" customHeight="1" x14ac:dyDescent="0.3"/>
    <row r="572" ht="12.6" customHeight="1" x14ac:dyDescent="0.3"/>
    <row r="573" ht="12.6" customHeight="1" x14ac:dyDescent="0.3"/>
    <row r="574" ht="12.6" customHeight="1" x14ac:dyDescent="0.3"/>
    <row r="575" ht="12.6" customHeight="1" x14ac:dyDescent="0.3"/>
    <row r="576" ht="12.6" customHeight="1" x14ac:dyDescent="0.3"/>
    <row r="577" ht="12.6" customHeight="1" x14ac:dyDescent="0.3"/>
    <row r="578" ht="12.6" customHeight="1" x14ac:dyDescent="0.3"/>
    <row r="579" ht="12.6" customHeight="1" x14ac:dyDescent="0.3"/>
    <row r="580" ht="12.6" customHeight="1" x14ac:dyDescent="0.3"/>
    <row r="581" ht="12.6" customHeight="1" x14ac:dyDescent="0.3"/>
    <row r="582" ht="12.6" customHeight="1" x14ac:dyDescent="0.3"/>
    <row r="583" ht="12.6" customHeight="1" x14ac:dyDescent="0.3"/>
    <row r="584" ht="12.6" customHeight="1" x14ac:dyDescent="0.3"/>
    <row r="585" ht="12.6" customHeight="1" x14ac:dyDescent="0.3"/>
    <row r="586" ht="12.6" customHeight="1" x14ac:dyDescent="0.3"/>
    <row r="587" ht="12.6" customHeight="1" x14ac:dyDescent="0.3"/>
    <row r="588" ht="12.6" customHeight="1" x14ac:dyDescent="0.3"/>
    <row r="589" ht="12.6" customHeight="1" x14ac:dyDescent="0.3"/>
    <row r="590" ht="12.6" customHeight="1" x14ac:dyDescent="0.3"/>
    <row r="591" ht="12.6" customHeight="1" x14ac:dyDescent="0.3"/>
    <row r="592" ht="12.6" customHeight="1" x14ac:dyDescent="0.3"/>
    <row r="593" ht="12.6" customHeight="1" x14ac:dyDescent="0.3"/>
    <row r="594" ht="12.6" customHeight="1" x14ac:dyDescent="0.3"/>
    <row r="595" ht="12.6" customHeight="1" x14ac:dyDescent="0.3"/>
    <row r="596" ht="12.6" customHeight="1" x14ac:dyDescent="0.3"/>
    <row r="597" ht="12.6" customHeight="1" x14ac:dyDescent="0.3"/>
    <row r="598" ht="12.6" customHeight="1" x14ac:dyDescent="0.3"/>
    <row r="599" ht="12.6" customHeight="1" x14ac:dyDescent="0.3"/>
    <row r="600" ht="12.6" customHeight="1" x14ac:dyDescent="0.3"/>
    <row r="601" ht="12.6" customHeight="1" x14ac:dyDescent="0.3"/>
    <row r="602" ht="12.6" customHeight="1" x14ac:dyDescent="0.3"/>
    <row r="603" ht="12.6" customHeight="1" x14ac:dyDescent="0.3"/>
    <row r="604" ht="12.6" customHeight="1" x14ac:dyDescent="0.3"/>
    <row r="605" ht="12.6" customHeight="1" x14ac:dyDescent="0.3"/>
    <row r="606" ht="12.6" customHeight="1" x14ac:dyDescent="0.3"/>
    <row r="607" ht="12.6" customHeight="1" x14ac:dyDescent="0.3"/>
    <row r="608" ht="12.6" customHeight="1" x14ac:dyDescent="0.3"/>
    <row r="609" ht="12.6" customHeight="1" x14ac:dyDescent="0.3"/>
    <row r="610" ht="12.6" customHeight="1" x14ac:dyDescent="0.3"/>
    <row r="611" ht="12.6" customHeight="1" x14ac:dyDescent="0.3"/>
    <row r="612" ht="12.6" customHeight="1" x14ac:dyDescent="0.3"/>
    <row r="613" ht="12.6" customHeight="1" x14ac:dyDescent="0.3"/>
    <row r="614" ht="12.6" customHeight="1" x14ac:dyDescent="0.3"/>
    <row r="615" ht="12.6" customHeight="1" x14ac:dyDescent="0.3"/>
    <row r="616" ht="12.6" customHeight="1" x14ac:dyDescent="0.3"/>
    <row r="617" ht="12.6" customHeight="1" x14ac:dyDescent="0.3"/>
    <row r="618" ht="12.6" customHeight="1" x14ac:dyDescent="0.3"/>
    <row r="619" ht="12.6" customHeight="1" x14ac:dyDescent="0.3"/>
    <row r="620" ht="12.6" customHeight="1" x14ac:dyDescent="0.3"/>
    <row r="621" ht="12.6" customHeight="1" x14ac:dyDescent="0.3"/>
    <row r="622" ht="12.6" customHeight="1" x14ac:dyDescent="0.3"/>
    <row r="623" ht="12.6" customHeight="1" x14ac:dyDescent="0.3"/>
    <row r="624" ht="12.6" customHeight="1" x14ac:dyDescent="0.3"/>
    <row r="625" ht="12.6" customHeight="1" x14ac:dyDescent="0.3"/>
    <row r="626" ht="12.6" customHeight="1" x14ac:dyDescent="0.3"/>
    <row r="627" ht="12.6" customHeight="1" x14ac:dyDescent="0.3"/>
    <row r="628" ht="12.6" customHeight="1" x14ac:dyDescent="0.3"/>
    <row r="629" ht="12.6" customHeight="1" x14ac:dyDescent="0.3"/>
    <row r="630" ht="12.6" customHeight="1" x14ac:dyDescent="0.3"/>
    <row r="631" ht="12.6" customHeight="1" x14ac:dyDescent="0.3"/>
    <row r="632" ht="12.6" customHeight="1" x14ac:dyDescent="0.3"/>
    <row r="633" ht="12.6" customHeight="1" x14ac:dyDescent="0.3"/>
    <row r="634" ht="12.6" customHeight="1" x14ac:dyDescent="0.3"/>
    <row r="635" ht="12.6" customHeight="1" x14ac:dyDescent="0.3"/>
    <row r="636" ht="12.6" customHeight="1" x14ac:dyDescent="0.3"/>
    <row r="637" ht="12.6" customHeight="1" x14ac:dyDescent="0.3"/>
    <row r="638" ht="12.6" customHeight="1" x14ac:dyDescent="0.3"/>
    <row r="639" ht="12.6" customHeight="1" x14ac:dyDescent="0.3"/>
    <row r="640" ht="12.6" customHeight="1" x14ac:dyDescent="0.3"/>
    <row r="641" ht="12.6" customHeight="1" x14ac:dyDescent="0.3"/>
    <row r="642" ht="12.6" customHeight="1" x14ac:dyDescent="0.3"/>
    <row r="643" ht="12.6" customHeight="1" x14ac:dyDescent="0.3"/>
    <row r="644" ht="12.6" customHeight="1" x14ac:dyDescent="0.3"/>
    <row r="645" ht="12.6" customHeight="1" x14ac:dyDescent="0.3"/>
    <row r="646" ht="12.6" customHeight="1" x14ac:dyDescent="0.3"/>
    <row r="647" ht="12.6" customHeight="1" x14ac:dyDescent="0.3"/>
    <row r="648" ht="12.6" customHeight="1" x14ac:dyDescent="0.3"/>
    <row r="649" ht="12.6" customHeight="1" x14ac:dyDescent="0.3"/>
    <row r="650" ht="12.6" customHeight="1" x14ac:dyDescent="0.3"/>
    <row r="651" ht="12.6" customHeight="1" x14ac:dyDescent="0.3"/>
    <row r="652" ht="12.6" customHeight="1" x14ac:dyDescent="0.3"/>
    <row r="653" ht="12.6" customHeight="1" x14ac:dyDescent="0.3"/>
    <row r="654" ht="12.6" customHeight="1" x14ac:dyDescent="0.3"/>
    <row r="655" ht="12.6" customHeight="1" x14ac:dyDescent="0.3"/>
    <row r="656" ht="12.6" customHeight="1" x14ac:dyDescent="0.3"/>
    <row r="657" ht="12.6" customHeight="1" x14ac:dyDescent="0.3"/>
    <row r="658" ht="12.6" customHeight="1" x14ac:dyDescent="0.3"/>
    <row r="659" ht="12.6" customHeight="1" x14ac:dyDescent="0.3"/>
    <row r="660" ht="12.6" customHeight="1" x14ac:dyDescent="0.3"/>
    <row r="661" ht="12.6" customHeight="1" x14ac:dyDescent="0.3"/>
    <row r="662" ht="12.6" customHeight="1" x14ac:dyDescent="0.3"/>
    <row r="663" ht="12.6" customHeight="1" x14ac:dyDescent="0.3"/>
    <row r="664" ht="12.6" customHeight="1" x14ac:dyDescent="0.3"/>
    <row r="665" ht="12.6" customHeight="1" x14ac:dyDescent="0.3"/>
    <row r="666" ht="12.6" customHeight="1" x14ac:dyDescent="0.3"/>
    <row r="667" ht="12.6" customHeight="1" x14ac:dyDescent="0.3"/>
    <row r="668" ht="12.6" customHeight="1" x14ac:dyDescent="0.3"/>
    <row r="669" ht="12.6" customHeight="1" x14ac:dyDescent="0.3"/>
    <row r="670" ht="12.6" customHeight="1" x14ac:dyDescent="0.3"/>
    <row r="671" ht="12.6" customHeight="1" x14ac:dyDescent="0.3"/>
    <row r="672" ht="12.6" customHeight="1" x14ac:dyDescent="0.3"/>
    <row r="673" ht="12.6" customHeight="1" x14ac:dyDescent="0.3"/>
    <row r="674" ht="12.6" customHeight="1" x14ac:dyDescent="0.3"/>
    <row r="675" ht="12.6" customHeight="1" x14ac:dyDescent="0.3"/>
    <row r="676" ht="12.6" customHeight="1" x14ac:dyDescent="0.3"/>
    <row r="677" ht="12.6" customHeight="1" x14ac:dyDescent="0.3"/>
    <row r="678" ht="12.6" customHeight="1" x14ac:dyDescent="0.3"/>
    <row r="679" ht="12.6" customHeight="1" x14ac:dyDescent="0.3"/>
    <row r="680" ht="12.6" customHeight="1" x14ac:dyDescent="0.3"/>
    <row r="681" ht="12.6" customHeight="1" x14ac:dyDescent="0.3"/>
    <row r="682" ht="12.6" customHeight="1" x14ac:dyDescent="0.3"/>
    <row r="683" ht="12.6" customHeight="1" x14ac:dyDescent="0.3"/>
    <row r="684" ht="12.6" customHeight="1" x14ac:dyDescent="0.3"/>
    <row r="685" ht="12.6" customHeight="1" x14ac:dyDescent="0.3"/>
    <row r="686" ht="12.6" customHeight="1" x14ac:dyDescent="0.3"/>
    <row r="687" ht="12.6" customHeight="1" x14ac:dyDescent="0.3"/>
    <row r="688" ht="12.6" customHeight="1" x14ac:dyDescent="0.3"/>
    <row r="689" ht="12.6" customHeight="1" x14ac:dyDescent="0.3"/>
    <row r="690" ht="12.6" customHeight="1" x14ac:dyDescent="0.3"/>
    <row r="691" ht="12.6" customHeight="1" x14ac:dyDescent="0.3"/>
    <row r="692" ht="12.6" customHeight="1" x14ac:dyDescent="0.3"/>
    <row r="693" ht="12.6" customHeight="1" x14ac:dyDescent="0.3"/>
    <row r="694" ht="12.6" customHeight="1" x14ac:dyDescent="0.3"/>
    <row r="695" ht="12.6" customHeight="1" x14ac:dyDescent="0.3"/>
    <row r="696" ht="12.6" customHeight="1" x14ac:dyDescent="0.3"/>
    <row r="697" ht="12.6" customHeight="1" x14ac:dyDescent="0.3"/>
    <row r="698" ht="12.6" customHeight="1" x14ac:dyDescent="0.3"/>
    <row r="699" ht="12.6" customHeight="1" x14ac:dyDescent="0.3"/>
    <row r="700" ht="12.6" customHeight="1" x14ac:dyDescent="0.3"/>
    <row r="701" ht="12.6" customHeight="1" x14ac:dyDescent="0.3"/>
    <row r="702" ht="12.6" customHeight="1" x14ac:dyDescent="0.3"/>
    <row r="703" ht="12.6" customHeight="1" x14ac:dyDescent="0.3"/>
    <row r="704" ht="12.6" customHeight="1" x14ac:dyDescent="0.3"/>
    <row r="705" ht="12.6" customHeight="1" x14ac:dyDescent="0.3"/>
    <row r="706" ht="12.6" customHeight="1" x14ac:dyDescent="0.3"/>
    <row r="707" ht="12.6" customHeight="1" x14ac:dyDescent="0.3"/>
    <row r="708" ht="12.6" customHeight="1" x14ac:dyDescent="0.3"/>
    <row r="709" ht="12.6" customHeight="1" x14ac:dyDescent="0.3"/>
    <row r="710" ht="12.6" customHeight="1" x14ac:dyDescent="0.3"/>
    <row r="711" ht="12.6" customHeight="1" x14ac:dyDescent="0.3"/>
    <row r="712" ht="12.6" customHeight="1" x14ac:dyDescent="0.3"/>
    <row r="713" ht="12.6" customHeight="1" x14ac:dyDescent="0.3"/>
    <row r="714" ht="12.6" customHeight="1" x14ac:dyDescent="0.3"/>
    <row r="715" ht="12.6" customHeight="1" x14ac:dyDescent="0.3"/>
    <row r="716" ht="12.6" customHeight="1" x14ac:dyDescent="0.3"/>
    <row r="717" ht="12.6" customHeight="1" x14ac:dyDescent="0.3"/>
    <row r="718" ht="12.6" customHeight="1" x14ac:dyDescent="0.3"/>
    <row r="719" ht="12.6" customHeight="1" x14ac:dyDescent="0.3"/>
    <row r="720" ht="12.6" customHeight="1" x14ac:dyDescent="0.3"/>
    <row r="721" ht="12.6" customHeight="1" x14ac:dyDescent="0.3"/>
    <row r="722" ht="12.6" customHeight="1" x14ac:dyDescent="0.3"/>
    <row r="723" ht="12.6" customHeight="1" x14ac:dyDescent="0.3"/>
    <row r="724" ht="12.6" customHeight="1" x14ac:dyDescent="0.3"/>
    <row r="725" ht="12.6" customHeight="1" x14ac:dyDescent="0.3"/>
    <row r="726" ht="12.6" customHeight="1" x14ac:dyDescent="0.3"/>
    <row r="727" ht="12.6" customHeight="1" x14ac:dyDescent="0.3"/>
    <row r="728" ht="12.6" customHeight="1" x14ac:dyDescent="0.3"/>
    <row r="729" ht="12.6" customHeight="1" x14ac:dyDescent="0.3"/>
    <row r="730" ht="12.6" customHeight="1" x14ac:dyDescent="0.3"/>
    <row r="731" ht="12.6" customHeight="1" x14ac:dyDescent="0.3"/>
    <row r="732" ht="12.6" customHeight="1" x14ac:dyDescent="0.3"/>
    <row r="733" ht="12.6" customHeight="1" x14ac:dyDescent="0.3"/>
    <row r="734" ht="12.6" customHeight="1" x14ac:dyDescent="0.3"/>
    <row r="735" ht="12.6" customHeight="1" x14ac:dyDescent="0.3"/>
    <row r="736" ht="12.6" customHeight="1" x14ac:dyDescent="0.3"/>
    <row r="737" ht="12.6" customHeight="1" x14ac:dyDescent="0.3"/>
    <row r="738" ht="12.6" customHeight="1" x14ac:dyDescent="0.3"/>
    <row r="739" ht="12.6" customHeight="1" x14ac:dyDescent="0.3"/>
    <row r="740" ht="12.6" customHeight="1" x14ac:dyDescent="0.3"/>
    <row r="741" ht="12.6" customHeight="1" x14ac:dyDescent="0.3"/>
    <row r="742" ht="12.6" customHeight="1" x14ac:dyDescent="0.3"/>
    <row r="743" ht="12.6" customHeight="1" x14ac:dyDescent="0.3"/>
    <row r="744" ht="12.6" customHeight="1" x14ac:dyDescent="0.3"/>
    <row r="745" ht="12.6" customHeight="1" x14ac:dyDescent="0.3"/>
    <row r="746" ht="12.6" customHeight="1" x14ac:dyDescent="0.3"/>
    <row r="747" ht="12.6" customHeight="1" x14ac:dyDescent="0.3"/>
    <row r="748" ht="12.6" customHeight="1" x14ac:dyDescent="0.3"/>
    <row r="749" ht="12.6" customHeight="1" x14ac:dyDescent="0.3"/>
    <row r="750" ht="12.6" customHeight="1" x14ac:dyDescent="0.3"/>
    <row r="751" ht="12.6" customHeight="1" x14ac:dyDescent="0.3"/>
    <row r="752" ht="12.6" customHeight="1" x14ac:dyDescent="0.3"/>
    <row r="753" ht="12.6" customHeight="1" x14ac:dyDescent="0.3"/>
    <row r="754" ht="12.6" customHeight="1" x14ac:dyDescent="0.3"/>
    <row r="755" ht="12.6" customHeight="1" x14ac:dyDescent="0.3"/>
    <row r="756" ht="12.6" customHeight="1" x14ac:dyDescent="0.3"/>
    <row r="757" ht="12.6" customHeight="1" x14ac:dyDescent="0.3"/>
    <row r="758" ht="12.6" customHeight="1" x14ac:dyDescent="0.3"/>
    <row r="759" ht="12.6" customHeight="1" x14ac:dyDescent="0.3"/>
    <row r="760" ht="12.6" customHeight="1" x14ac:dyDescent="0.3"/>
    <row r="761" ht="12.6" customHeight="1" x14ac:dyDescent="0.3"/>
    <row r="762" ht="12.6" customHeight="1" x14ac:dyDescent="0.3"/>
    <row r="763" ht="12.6" customHeight="1" x14ac:dyDescent="0.3"/>
    <row r="764" ht="12.6" customHeight="1" x14ac:dyDescent="0.3"/>
    <row r="765" ht="12.6" customHeight="1" x14ac:dyDescent="0.3"/>
    <row r="766" ht="12.6" customHeight="1" x14ac:dyDescent="0.3"/>
    <row r="767" ht="12.6" customHeight="1" x14ac:dyDescent="0.3"/>
    <row r="768" ht="12.6" customHeight="1" x14ac:dyDescent="0.3"/>
    <row r="769" ht="12.6" customHeight="1" x14ac:dyDescent="0.3"/>
    <row r="770" ht="12.6" customHeight="1" x14ac:dyDescent="0.3"/>
    <row r="771" ht="12.6" customHeight="1" x14ac:dyDescent="0.3"/>
    <row r="772" ht="12.6" customHeight="1" x14ac:dyDescent="0.3"/>
    <row r="773" ht="12.6" customHeight="1" x14ac:dyDescent="0.3"/>
    <row r="774" ht="12.6" customHeight="1" x14ac:dyDescent="0.3"/>
    <row r="775" ht="12.6" customHeight="1" x14ac:dyDescent="0.3"/>
    <row r="776" ht="12.6" customHeight="1" x14ac:dyDescent="0.3"/>
    <row r="777" ht="12.6" customHeight="1" x14ac:dyDescent="0.3"/>
    <row r="778" ht="12.6" customHeight="1" x14ac:dyDescent="0.3"/>
    <row r="779" ht="12.6" customHeight="1" x14ac:dyDescent="0.3"/>
    <row r="780" ht="12.6" customHeight="1" x14ac:dyDescent="0.3"/>
    <row r="781" ht="12.6" customHeight="1" x14ac:dyDescent="0.3"/>
    <row r="782" ht="12.6" customHeight="1" x14ac:dyDescent="0.3"/>
    <row r="783" ht="12.6" customHeight="1" x14ac:dyDescent="0.3"/>
    <row r="784" ht="12.6" customHeight="1" x14ac:dyDescent="0.3"/>
    <row r="785" ht="12.6" customHeight="1" x14ac:dyDescent="0.3"/>
    <row r="786" ht="12.6" customHeight="1" x14ac:dyDescent="0.3"/>
    <row r="787" ht="12.6" customHeight="1" x14ac:dyDescent="0.3"/>
    <row r="788" ht="12.6" customHeight="1" x14ac:dyDescent="0.3"/>
    <row r="789" ht="12.6" customHeight="1" x14ac:dyDescent="0.3"/>
    <row r="790" ht="12.6" customHeight="1" x14ac:dyDescent="0.3"/>
    <row r="791" ht="12.6" customHeight="1" x14ac:dyDescent="0.3"/>
    <row r="792" ht="12.6" customHeight="1" x14ac:dyDescent="0.3"/>
    <row r="793" ht="12.6" customHeight="1" x14ac:dyDescent="0.3"/>
    <row r="794" ht="12.6" customHeight="1" x14ac:dyDescent="0.3"/>
    <row r="795" ht="12.6" customHeight="1" x14ac:dyDescent="0.3"/>
    <row r="796" ht="12.6" customHeight="1" x14ac:dyDescent="0.3"/>
    <row r="797" ht="12.6" customHeight="1" x14ac:dyDescent="0.3"/>
    <row r="798" ht="12.6" customHeight="1" x14ac:dyDescent="0.3"/>
    <row r="799" ht="12.6" customHeight="1" x14ac:dyDescent="0.3"/>
    <row r="800" ht="12.6" customHeight="1" x14ac:dyDescent="0.3"/>
    <row r="801" ht="12.6" customHeight="1" x14ac:dyDescent="0.3"/>
    <row r="802" ht="12.6" customHeight="1" x14ac:dyDescent="0.3"/>
    <row r="803" ht="12.6" customHeight="1" x14ac:dyDescent="0.3"/>
    <row r="804" ht="12.6" customHeight="1" x14ac:dyDescent="0.3"/>
    <row r="805" ht="12.6" customHeight="1" x14ac:dyDescent="0.3"/>
    <row r="806" ht="12.6" customHeight="1" x14ac:dyDescent="0.3"/>
    <row r="807" ht="12.6" customHeight="1" x14ac:dyDescent="0.3"/>
    <row r="808" ht="12.6" customHeight="1" x14ac:dyDescent="0.3"/>
    <row r="809" ht="12.6" customHeight="1" x14ac:dyDescent="0.3"/>
    <row r="810" ht="12.6" customHeight="1" x14ac:dyDescent="0.3"/>
    <row r="811" ht="12.6" customHeight="1" x14ac:dyDescent="0.3"/>
    <row r="812" ht="12.6" customHeight="1" x14ac:dyDescent="0.3"/>
    <row r="813" ht="12.6" customHeight="1" x14ac:dyDescent="0.3"/>
    <row r="814" ht="12.6" customHeight="1" x14ac:dyDescent="0.3"/>
    <row r="815" ht="12.6" customHeight="1" x14ac:dyDescent="0.3"/>
    <row r="816" ht="12.6" customHeight="1" x14ac:dyDescent="0.3"/>
    <row r="817" ht="12.6" customHeight="1" x14ac:dyDescent="0.3"/>
    <row r="818" ht="12.6" customHeight="1" x14ac:dyDescent="0.3"/>
    <row r="819" ht="12.6" customHeight="1" x14ac:dyDescent="0.3"/>
    <row r="820" ht="12.6" customHeight="1" x14ac:dyDescent="0.3"/>
    <row r="821" ht="12.6" customHeight="1" x14ac:dyDescent="0.3"/>
    <row r="822" ht="12.6" customHeight="1" x14ac:dyDescent="0.3"/>
    <row r="823" ht="12.6" customHeight="1" x14ac:dyDescent="0.3"/>
    <row r="824" ht="12.6" customHeight="1" x14ac:dyDescent="0.3"/>
    <row r="825" ht="12.6" customHeight="1" x14ac:dyDescent="0.3"/>
    <row r="826" ht="12.6" customHeight="1" x14ac:dyDescent="0.3"/>
    <row r="827" ht="12.6" customHeight="1" x14ac:dyDescent="0.3"/>
    <row r="828" ht="12.6" customHeight="1" x14ac:dyDescent="0.3"/>
    <row r="829" ht="12.6" customHeight="1" x14ac:dyDescent="0.3"/>
    <row r="830" ht="12.6" customHeight="1" x14ac:dyDescent="0.3"/>
    <row r="831" ht="12.6" customHeight="1" x14ac:dyDescent="0.3"/>
    <row r="832" ht="12.6" customHeight="1" x14ac:dyDescent="0.3"/>
    <row r="833" ht="12.6" customHeight="1" x14ac:dyDescent="0.3"/>
    <row r="834" ht="12.6" customHeight="1" x14ac:dyDescent="0.3"/>
    <row r="835" ht="12.6" customHeight="1" x14ac:dyDescent="0.3"/>
    <row r="836" ht="12.6" customHeight="1" x14ac:dyDescent="0.3"/>
    <row r="837" ht="12.6" customHeight="1" x14ac:dyDescent="0.3"/>
    <row r="838" ht="12.6" customHeight="1" x14ac:dyDescent="0.3"/>
    <row r="839" ht="12.6" customHeight="1" x14ac:dyDescent="0.3"/>
    <row r="840" ht="12.6" customHeight="1" x14ac:dyDescent="0.3"/>
    <row r="841" ht="12.6" customHeight="1" x14ac:dyDescent="0.3"/>
    <row r="842" ht="12.6" customHeight="1" x14ac:dyDescent="0.3"/>
    <row r="843" ht="12.6" customHeight="1" x14ac:dyDescent="0.3"/>
    <row r="844" ht="12.6" customHeight="1" x14ac:dyDescent="0.3"/>
    <row r="845" ht="12.6" customHeight="1" x14ac:dyDescent="0.3"/>
    <row r="846" ht="12.6" customHeight="1" x14ac:dyDescent="0.3"/>
    <row r="847" ht="12.6" customHeight="1" x14ac:dyDescent="0.3"/>
    <row r="848" ht="12.6" customHeight="1" x14ac:dyDescent="0.3"/>
    <row r="849" ht="12.6" customHeight="1" x14ac:dyDescent="0.3"/>
    <row r="850" ht="12.6" customHeight="1" x14ac:dyDescent="0.3"/>
    <row r="851" ht="12.6" customHeight="1" x14ac:dyDescent="0.3"/>
    <row r="852" ht="12.6" customHeight="1" x14ac:dyDescent="0.3"/>
    <row r="853" ht="12.6" customHeight="1" x14ac:dyDescent="0.3"/>
    <row r="854" ht="12.6" customHeight="1" x14ac:dyDescent="0.3"/>
    <row r="855" ht="12.6" customHeight="1" x14ac:dyDescent="0.3"/>
    <row r="856" ht="12.6" customHeight="1" x14ac:dyDescent="0.3"/>
    <row r="857" ht="12.6" customHeight="1" x14ac:dyDescent="0.3"/>
    <row r="858" ht="12.6" customHeight="1" x14ac:dyDescent="0.3"/>
    <row r="859" ht="12.6" customHeight="1" x14ac:dyDescent="0.3"/>
    <row r="860" ht="12.6" customHeight="1" x14ac:dyDescent="0.3"/>
    <row r="861" ht="12.6" customHeight="1" x14ac:dyDescent="0.3"/>
    <row r="862" ht="12.6" customHeight="1" x14ac:dyDescent="0.3"/>
    <row r="863" ht="12.6" customHeight="1" x14ac:dyDescent="0.3"/>
    <row r="864" ht="12.6" customHeight="1" x14ac:dyDescent="0.3"/>
    <row r="865" ht="12.6" customHeight="1" x14ac:dyDescent="0.3"/>
    <row r="866" ht="12.6" customHeight="1" x14ac:dyDescent="0.3"/>
    <row r="867" ht="12.6" customHeight="1" x14ac:dyDescent="0.3"/>
    <row r="868" ht="12.6" customHeight="1" x14ac:dyDescent="0.3"/>
    <row r="869" ht="12.6" customHeight="1" x14ac:dyDescent="0.3"/>
    <row r="870" ht="12.6" customHeight="1" x14ac:dyDescent="0.3"/>
    <row r="871" ht="12.6" customHeight="1" x14ac:dyDescent="0.3"/>
    <row r="872" ht="12.6" customHeight="1" x14ac:dyDescent="0.3"/>
    <row r="873" ht="12.6" customHeight="1" x14ac:dyDescent="0.3"/>
    <row r="874" ht="12.6" customHeight="1" x14ac:dyDescent="0.3"/>
    <row r="875" ht="12.6" customHeight="1" x14ac:dyDescent="0.3"/>
    <row r="876" ht="12.6" customHeight="1" x14ac:dyDescent="0.3"/>
    <row r="877" ht="12.6" customHeight="1" x14ac:dyDescent="0.3"/>
    <row r="878" ht="12.6" customHeight="1" x14ac:dyDescent="0.3"/>
    <row r="879" ht="12.6" customHeight="1" x14ac:dyDescent="0.3"/>
    <row r="880" ht="12.6" customHeight="1" x14ac:dyDescent="0.3"/>
    <row r="881" ht="12.6" customHeight="1" x14ac:dyDescent="0.3"/>
    <row r="882" ht="12.6" customHeight="1" x14ac:dyDescent="0.3"/>
    <row r="883" ht="12.6" customHeight="1" x14ac:dyDescent="0.3"/>
    <row r="884" ht="12.6" customHeight="1" x14ac:dyDescent="0.3"/>
    <row r="885" ht="12.6" customHeight="1" x14ac:dyDescent="0.3"/>
    <row r="886" ht="12.6" customHeight="1" x14ac:dyDescent="0.3"/>
    <row r="887" ht="12.6" customHeight="1" x14ac:dyDescent="0.3"/>
    <row r="888" ht="12.6" customHeight="1" x14ac:dyDescent="0.3"/>
    <row r="889" ht="12.6" customHeight="1" x14ac:dyDescent="0.3"/>
    <row r="890" ht="12.6" customHeight="1" x14ac:dyDescent="0.3"/>
    <row r="891" ht="12.6" customHeight="1" x14ac:dyDescent="0.3"/>
    <row r="892" ht="12.6" customHeight="1" x14ac:dyDescent="0.3"/>
    <row r="893" ht="12.6" customHeight="1" x14ac:dyDescent="0.3"/>
    <row r="894" ht="12.6" customHeight="1" x14ac:dyDescent="0.3"/>
    <row r="895" ht="12.6" customHeight="1" x14ac:dyDescent="0.3"/>
    <row r="896" ht="12.6" customHeight="1" x14ac:dyDescent="0.3"/>
    <row r="897" ht="12.6" customHeight="1" x14ac:dyDescent="0.3"/>
    <row r="898" ht="12.6" customHeight="1" x14ac:dyDescent="0.3"/>
    <row r="899" ht="12.6" customHeight="1" x14ac:dyDescent="0.3"/>
    <row r="900" ht="12.6" customHeight="1" x14ac:dyDescent="0.3"/>
    <row r="901" ht="12.6" customHeight="1" x14ac:dyDescent="0.3"/>
    <row r="902" ht="12.6" customHeight="1" x14ac:dyDescent="0.3"/>
    <row r="903" ht="12.6" customHeight="1" x14ac:dyDescent="0.3"/>
    <row r="904" ht="12.6" customHeight="1" x14ac:dyDescent="0.3"/>
    <row r="905" ht="12.6" customHeight="1" x14ac:dyDescent="0.3"/>
    <row r="906" ht="12.6" customHeight="1" x14ac:dyDescent="0.3"/>
    <row r="907" ht="12.6" customHeight="1" x14ac:dyDescent="0.3"/>
    <row r="908" ht="12.6" customHeight="1" x14ac:dyDescent="0.3"/>
    <row r="909" ht="12.6" customHeight="1" x14ac:dyDescent="0.3"/>
    <row r="910" ht="12.6" customHeight="1" x14ac:dyDescent="0.3"/>
    <row r="911" ht="12.6" customHeight="1" x14ac:dyDescent="0.3"/>
    <row r="912" ht="12.6" customHeight="1" x14ac:dyDescent="0.3"/>
    <row r="913" ht="12.6" customHeight="1" x14ac:dyDescent="0.3"/>
    <row r="914" ht="12.6" customHeight="1" x14ac:dyDescent="0.3"/>
    <row r="915" ht="12.6" customHeight="1" x14ac:dyDescent="0.3"/>
    <row r="916" ht="12.6" customHeight="1" x14ac:dyDescent="0.3"/>
    <row r="917" ht="12.6" customHeight="1" x14ac:dyDescent="0.3"/>
    <row r="918" ht="12.6" customHeight="1" x14ac:dyDescent="0.3"/>
    <row r="919" ht="12.6" customHeight="1" x14ac:dyDescent="0.3"/>
    <row r="920" ht="12.6" customHeight="1" x14ac:dyDescent="0.3"/>
    <row r="921" ht="12.6" customHeight="1" x14ac:dyDescent="0.3"/>
    <row r="922" ht="12.6" customHeight="1" x14ac:dyDescent="0.3"/>
    <row r="923" ht="12.6" customHeight="1" x14ac:dyDescent="0.3"/>
    <row r="924" ht="12.6" customHeight="1" x14ac:dyDescent="0.3"/>
    <row r="925" ht="12.6" customHeight="1" x14ac:dyDescent="0.3"/>
    <row r="926" ht="12.6" customHeight="1" x14ac:dyDescent="0.3"/>
    <row r="927" ht="12.6" customHeight="1" x14ac:dyDescent="0.3"/>
    <row r="928" ht="12.6" customHeight="1" x14ac:dyDescent="0.3"/>
    <row r="929" ht="12.6" customHeight="1" x14ac:dyDescent="0.3"/>
    <row r="930" ht="12.6" customHeight="1" x14ac:dyDescent="0.3"/>
    <row r="931" ht="12.6" customHeight="1" x14ac:dyDescent="0.3"/>
    <row r="932" ht="12.6" customHeight="1" x14ac:dyDescent="0.3"/>
    <row r="933" ht="12.6" customHeight="1" x14ac:dyDescent="0.3"/>
    <row r="934" ht="12.6" customHeight="1" x14ac:dyDescent="0.3"/>
    <row r="935" ht="12.6" customHeight="1" x14ac:dyDescent="0.3"/>
    <row r="936" ht="12.6" customHeight="1" x14ac:dyDescent="0.3"/>
    <row r="937" ht="12.6" customHeight="1" x14ac:dyDescent="0.3"/>
    <row r="938" ht="12.6" customHeight="1" x14ac:dyDescent="0.3"/>
    <row r="939" ht="12.6" customHeight="1" x14ac:dyDescent="0.3"/>
    <row r="940" ht="12.6" customHeight="1" x14ac:dyDescent="0.3"/>
    <row r="941" ht="12.6" customHeight="1" x14ac:dyDescent="0.3"/>
    <row r="942" ht="12.6" customHeight="1" x14ac:dyDescent="0.3"/>
    <row r="943" ht="12.6" customHeight="1" x14ac:dyDescent="0.3"/>
    <row r="944" ht="12.6" customHeight="1" x14ac:dyDescent="0.3"/>
    <row r="945" ht="12.6" customHeight="1" x14ac:dyDescent="0.3"/>
    <row r="946" ht="12.6" customHeight="1" x14ac:dyDescent="0.3"/>
    <row r="947" ht="12.6" customHeight="1" x14ac:dyDescent="0.3"/>
    <row r="948" ht="12.6" customHeight="1" x14ac:dyDescent="0.3"/>
    <row r="949" ht="12.6" customHeight="1" x14ac:dyDescent="0.3"/>
    <row r="950" ht="12.6" customHeight="1" x14ac:dyDescent="0.3"/>
    <row r="951" ht="12.6" customHeight="1" x14ac:dyDescent="0.3"/>
    <row r="952" ht="12.6" customHeight="1" x14ac:dyDescent="0.3"/>
    <row r="953" ht="12.6" customHeight="1" x14ac:dyDescent="0.3"/>
    <row r="954" ht="12.6" customHeight="1" x14ac:dyDescent="0.3"/>
    <row r="955" ht="12.6" customHeight="1" x14ac:dyDescent="0.3"/>
    <row r="956" ht="12.6" customHeight="1" x14ac:dyDescent="0.3"/>
    <row r="957" ht="12.6" customHeight="1" x14ac:dyDescent="0.3"/>
    <row r="958" ht="12.6" customHeight="1" x14ac:dyDescent="0.3"/>
    <row r="959" ht="12.6" customHeight="1" x14ac:dyDescent="0.3"/>
    <row r="960" ht="12.6" customHeight="1" x14ac:dyDescent="0.3"/>
    <row r="961" ht="12.6" customHeight="1" x14ac:dyDescent="0.3"/>
    <row r="962" ht="12.6" customHeight="1" x14ac:dyDescent="0.3"/>
    <row r="963" ht="12.6" customHeight="1" x14ac:dyDescent="0.3"/>
    <row r="964" ht="12.6" customHeight="1" x14ac:dyDescent="0.3"/>
    <row r="965" ht="12.6" customHeight="1" x14ac:dyDescent="0.3"/>
    <row r="966" ht="12.6" customHeight="1" x14ac:dyDescent="0.3"/>
    <row r="967" ht="12.6" customHeight="1" x14ac:dyDescent="0.3"/>
    <row r="968" ht="12.6" customHeight="1" x14ac:dyDescent="0.3"/>
    <row r="969" ht="12.6" customHeight="1" x14ac:dyDescent="0.3"/>
    <row r="970" ht="12.6" customHeight="1" x14ac:dyDescent="0.3"/>
    <row r="971" ht="12.6" customHeight="1" x14ac:dyDescent="0.3"/>
    <row r="972" ht="12.6" customHeight="1" x14ac:dyDescent="0.3"/>
    <row r="973" ht="12.6" customHeight="1" x14ac:dyDescent="0.3"/>
    <row r="974" ht="12.6" customHeight="1" x14ac:dyDescent="0.3"/>
    <row r="975" ht="12.6" customHeight="1" x14ac:dyDescent="0.3"/>
    <row r="976" ht="12.6" customHeight="1" x14ac:dyDescent="0.3"/>
    <row r="977" ht="12.6" customHeight="1" x14ac:dyDescent="0.3"/>
    <row r="978" ht="12.6" customHeight="1" x14ac:dyDescent="0.3"/>
    <row r="979" ht="12.6" customHeight="1" x14ac:dyDescent="0.3"/>
    <row r="980" ht="12.6" customHeight="1" x14ac:dyDescent="0.3"/>
    <row r="981" ht="12.6" customHeight="1" x14ac:dyDescent="0.3"/>
    <row r="982" ht="12.6" customHeight="1" x14ac:dyDescent="0.3"/>
    <row r="983" ht="12.6" customHeight="1" x14ac:dyDescent="0.3"/>
    <row r="984" ht="12.6" customHeight="1" x14ac:dyDescent="0.3"/>
    <row r="985" ht="12.6" customHeight="1" x14ac:dyDescent="0.3"/>
    <row r="986" ht="12.6" customHeight="1" x14ac:dyDescent="0.3"/>
    <row r="987" ht="12.6" customHeight="1" x14ac:dyDescent="0.3"/>
    <row r="988" ht="12.6" customHeight="1" x14ac:dyDescent="0.3"/>
    <row r="989" ht="12.6" customHeight="1" x14ac:dyDescent="0.3"/>
    <row r="990" ht="12.6" customHeight="1" x14ac:dyDescent="0.3"/>
    <row r="991" ht="12.6" customHeight="1" x14ac:dyDescent="0.3"/>
    <row r="992" ht="12.6" customHeight="1" x14ac:dyDescent="0.3"/>
    <row r="993" ht="12.6" customHeight="1" x14ac:dyDescent="0.3"/>
    <row r="994" ht="12.6" customHeight="1" x14ac:dyDescent="0.3"/>
    <row r="995" ht="12.6" customHeight="1" x14ac:dyDescent="0.3"/>
    <row r="996" ht="12.6" customHeight="1" x14ac:dyDescent="0.3"/>
    <row r="997" ht="12.6" customHeight="1" x14ac:dyDescent="0.3"/>
    <row r="998" ht="12.6" customHeight="1" x14ac:dyDescent="0.3"/>
    <row r="999" ht="12.6" customHeight="1" x14ac:dyDescent="0.3"/>
    <row r="1000" ht="12.6" customHeigh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/>
  </sheetViews>
  <sheetFormatPr defaultColWidth="14.44140625" defaultRowHeight="14.4" x14ac:dyDescent="0.3"/>
  <cols>
    <col min="1" max="1" width="26" customWidth="1"/>
    <col min="2" max="2" width="30" customWidth="1"/>
    <col min="3" max="3" width="20" customWidth="1"/>
    <col min="4" max="4" width="16" customWidth="1"/>
    <col min="5" max="5" width="56" customWidth="1"/>
    <col min="6" max="8" width="15" customWidth="1"/>
    <col min="9" max="26" width="8.6640625" customWidth="1"/>
  </cols>
  <sheetData>
    <row r="1" spans="1:8" ht="19.2" customHeight="1" x14ac:dyDescent="0.3">
      <c r="A1" s="1" t="s">
        <v>390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391</v>
      </c>
    </row>
    <row r="3" spans="1:8" x14ac:dyDescent="0.3">
      <c r="A3" s="6" t="s">
        <v>392</v>
      </c>
      <c r="B3" s="5" t="s">
        <v>393</v>
      </c>
      <c r="D3" s="3" t="s">
        <v>394</v>
      </c>
    </row>
    <row r="5" spans="1:8" x14ac:dyDescent="0.3">
      <c r="A5" s="42" t="s">
        <v>395</v>
      </c>
      <c r="B5" s="42" t="s">
        <v>396</v>
      </c>
      <c r="C5" s="42" t="s">
        <v>397</v>
      </c>
      <c r="D5" s="42" t="s">
        <v>398</v>
      </c>
      <c r="E5" s="42" t="s">
        <v>399</v>
      </c>
    </row>
    <row r="6" spans="1:8" x14ac:dyDescent="0.3">
      <c r="A6" s="43" t="s">
        <v>132</v>
      </c>
      <c r="B6" s="43" t="s">
        <v>400</v>
      </c>
      <c r="C6" s="43" t="s">
        <v>401</v>
      </c>
      <c r="D6" s="43" t="s">
        <v>402</v>
      </c>
      <c r="E6" s="44" t="s">
        <v>403</v>
      </c>
    </row>
    <row r="7" spans="1:8" x14ac:dyDescent="0.3">
      <c r="A7" s="43" t="s">
        <v>132</v>
      </c>
      <c r="B7" s="43" t="s">
        <v>404</v>
      </c>
      <c r="C7" s="43" t="s">
        <v>405</v>
      </c>
      <c r="D7" s="43" t="s">
        <v>402</v>
      </c>
      <c r="E7" s="44" t="s">
        <v>403</v>
      </c>
    </row>
    <row r="8" spans="1:8" x14ac:dyDescent="0.3">
      <c r="A8" s="43" t="s">
        <v>132</v>
      </c>
      <c r="B8" s="43" t="s">
        <v>406</v>
      </c>
      <c r="C8" s="43" t="s">
        <v>407</v>
      </c>
      <c r="D8" s="43" t="s">
        <v>402</v>
      </c>
      <c r="E8" s="44" t="s">
        <v>403</v>
      </c>
    </row>
    <row r="9" spans="1:8" x14ac:dyDescent="0.3">
      <c r="A9" s="43" t="s">
        <v>132</v>
      </c>
      <c r="B9" s="43" t="s">
        <v>408</v>
      </c>
      <c r="C9" s="43" t="s">
        <v>409</v>
      </c>
      <c r="D9" s="43" t="s">
        <v>410</v>
      </c>
      <c r="E9" s="44" t="s">
        <v>403</v>
      </c>
    </row>
    <row r="10" spans="1:8" ht="22.8" x14ac:dyDescent="0.3">
      <c r="A10" s="43" t="s">
        <v>132</v>
      </c>
      <c r="B10" s="43" t="s">
        <v>411</v>
      </c>
      <c r="C10" s="43" t="s">
        <v>412</v>
      </c>
      <c r="D10" s="43" t="s">
        <v>402</v>
      </c>
      <c r="E10" s="44" t="s">
        <v>413</v>
      </c>
    </row>
    <row r="11" spans="1:8" x14ac:dyDescent="0.3">
      <c r="A11" s="43" t="s">
        <v>132</v>
      </c>
      <c r="B11" s="43" t="s">
        <v>414</v>
      </c>
      <c r="C11" s="43" t="s">
        <v>415</v>
      </c>
      <c r="D11" s="43" t="s">
        <v>402</v>
      </c>
      <c r="E11" s="44" t="s">
        <v>416</v>
      </c>
    </row>
    <row r="12" spans="1:8" x14ac:dyDescent="0.3">
      <c r="A12" s="43" t="s">
        <v>132</v>
      </c>
      <c r="B12" s="43" t="s">
        <v>417</v>
      </c>
      <c r="C12" s="43" t="s">
        <v>418</v>
      </c>
      <c r="D12" s="43" t="s">
        <v>410</v>
      </c>
      <c r="E12" s="44" t="s">
        <v>416</v>
      </c>
    </row>
    <row r="13" spans="1:8" x14ac:dyDescent="0.3">
      <c r="A13" s="43" t="s">
        <v>132</v>
      </c>
      <c r="B13" s="43" t="s">
        <v>419</v>
      </c>
      <c r="C13" s="43" t="s">
        <v>420</v>
      </c>
      <c r="D13" s="43" t="s">
        <v>402</v>
      </c>
      <c r="E13" s="44" t="s">
        <v>421</v>
      </c>
    </row>
    <row r="14" spans="1:8" ht="22.8" x14ac:dyDescent="0.3">
      <c r="A14" s="43" t="s">
        <v>132</v>
      </c>
      <c r="B14" s="43" t="s">
        <v>422</v>
      </c>
      <c r="C14" s="43" t="s">
        <v>423</v>
      </c>
      <c r="D14" s="43" t="s">
        <v>402</v>
      </c>
      <c r="E14" s="44" t="s">
        <v>424</v>
      </c>
    </row>
    <row r="15" spans="1:8" x14ac:dyDescent="0.3">
      <c r="A15" s="43" t="s">
        <v>425</v>
      </c>
      <c r="B15" s="43" t="s">
        <v>426</v>
      </c>
      <c r="C15" s="43" t="s">
        <v>427</v>
      </c>
      <c r="D15" s="43" t="s">
        <v>428</v>
      </c>
      <c r="E15" s="44" t="s">
        <v>429</v>
      </c>
    </row>
    <row r="16" spans="1:8" x14ac:dyDescent="0.3">
      <c r="A16" s="43" t="s">
        <v>425</v>
      </c>
      <c r="B16" s="43" t="s">
        <v>430</v>
      </c>
      <c r="C16" s="43" t="s">
        <v>431</v>
      </c>
      <c r="D16" s="43" t="s">
        <v>428</v>
      </c>
      <c r="E16" s="44" t="s">
        <v>432</v>
      </c>
    </row>
    <row r="17" spans="1:5" x14ac:dyDescent="0.3">
      <c r="A17" s="43" t="s">
        <v>425</v>
      </c>
      <c r="B17" s="43" t="s">
        <v>433</v>
      </c>
      <c r="C17" s="43" t="s">
        <v>434</v>
      </c>
      <c r="D17" s="43" t="s">
        <v>428</v>
      </c>
      <c r="E17" s="44" t="s">
        <v>435</v>
      </c>
    </row>
    <row r="18" spans="1:5" x14ac:dyDescent="0.3">
      <c r="A18" s="43" t="s">
        <v>425</v>
      </c>
      <c r="B18" s="43" t="s">
        <v>436</v>
      </c>
      <c r="C18" s="43" t="s">
        <v>437</v>
      </c>
      <c r="D18" s="43" t="s">
        <v>428</v>
      </c>
      <c r="E18" s="44" t="s">
        <v>416</v>
      </c>
    </row>
    <row r="19" spans="1:5" x14ac:dyDescent="0.3">
      <c r="A19" s="43" t="s">
        <v>438</v>
      </c>
      <c r="B19" s="43" t="s">
        <v>439</v>
      </c>
      <c r="C19" s="43" t="s">
        <v>440</v>
      </c>
      <c r="D19" s="43" t="s">
        <v>441</v>
      </c>
      <c r="E19" s="44" t="s">
        <v>442</v>
      </c>
    </row>
    <row r="20" spans="1:5" x14ac:dyDescent="0.3">
      <c r="A20" s="43" t="s">
        <v>438</v>
      </c>
      <c r="B20" s="43" t="s">
        <v>443</v>
      </c>
      <c r="C20" s="43" t="s">
        <v>444</v>
      </c>
      <c r="D20" s="43" t="s">
        <v>441</v>
      </c>
      <c r="E20" s="44" t="s">
        <v>416</v>
      </c>
    </row>
    <row r="21" spans="1:5" ht="12.6" customHeight="1" x14ac:dyDescent="0.3">
      <c r="A21" s="43" t="s">
        <v>438</v>
      </c>
      <c r="B21" s="43" t="s">
        <v>445</v>
      </c>
      <c r="C21" s="43" t="s">
        <v>446</v>
      </c>
      <c r="D21" s="43" t="s">
        <v>441</v>
      </c>
      <c r="E21" s="44" t="s">
        <v>447</v>
      </c>
    </row>
    <row r="22" spans="1:5" ht="12.6" customHeight="1" x14ac:dyDescent="0.3">
      <c r="A22" s="43" t="s">
        <v>438</v>
      </c>
      <c r="B22" s="43" t="s">
        <v>448</v>
      </c>
      <c r="C22" s="43" t="s">
        <v>449</v>
      </c>
      <c r="D22" s="43" t="s">
        <v>441</v>
      </c>
      <c r="E22" s="44" t="s">
        <v>447</v>
      </c>
    </row>
    <row r="23" spans="1:5" ht="12.6" customHeight="1" x14ac:dyDescent="0.3">
      <c r="A23" s="43" t="s">
        <v>450</v>
      </c>
      <c r="B23" s="43" t="s">
        <v>451</v>
      </c>
      <c r="C23" s="43" t="s">
        <v>452</v>
      </c>
      <c r="D23" s="43" t="s">
        <v>453</v>
      </c>
      <c r="E23" s="44" t="s">
        <v>454</v>
      </c>
    </row>
    <row r="24" spans="1:5" ht="12.6" customHeight="1" x14ac:dyDescent="0.3">
      <c r="A24" s="43" t="s">
        <v>455</v>
      </c>
      <c r="B24" s="43" t="s">
        <v>456</v>
      </c>
      <c r="C24" s="43" t="s">
        <v>457</v>
      </c>
      <c r="D24" s="43" t="s">
        <v>458</v>
      </c>
      <c r="E24" s="44" t="s">
        <v>459</v>
      </c>
    </row>
    <row r="25" spans="1:5" ht="12.6" customHeight="1" x14ac:dyDescent="0.3">
      <c r="A25" s="43" t="s">
        <v>455</v>
      </c>
      <c r="B25" s="43" t="s">
        <v>460</v>
      </c>
      <c r="C25" s="43" t="s">
        <v>461</v>
      </c>
      <c r="D25" s="43" t="s">
        <v>458</v>
      </c>
      <c r="E25" s="44" t="s">
        <v>462</v>
      </c>
    </row>
    <row r="26" spans="1:5" ht="12.6" customHeight="1" x14ac:dyDescent="0.3">
      <c r="A26" s="43" t="s">
        <v>455</v>
      </c>
      <c r="B26" s="43" t="s">
        <v>463</v>
      </c>
      <c r="C26" s="43" t="s">
        <v>464</v>
      </c>
      <c r="D26" s="43" t="s">
        <v>410</v>
      </c>
      <c r="E26" s="44" t="s">
        <v>465</v>
      </c>
    </row>
    <row r="27" spans="1:5" ht="12.6" customHeight="1" x14ac:dyDescent="0.3">
      <c r="A27" s="43" t="s">
        <v>466</v>
      </c>
      <c r="B27" s="43" t="s">
        <v>467</v>
      </c>
      <c r="C27" s="43" t="s">
        <v>468</v>
      </c>
      <c r="D27" s="43" t="s">
        <v>469</v>
      </c>
      <c r="E27" s="44" t="s">
        <v>470</v>
      </c>
    </row>
    <row r="28" spans="1:5" ht="12.6" customHeight="1" x14ac:dyDescent="0.3">
      <c r="A28" s="43" t="s">
        <v>466</v>
      </c>
      <c r="B28" s="43" t="s">
        <v>471</v>
      </c>
      <c r="C28" s="43" t="s">
        <v>472</v>
      </c>
      <c r="D28" s="43" t="s">
        <v>469</v>
      </c>
      <c r="E28" s="44" t="s">
        <v>470</v>
      </c>
    </row>
    <row r="29" spans="1:5" ht="12.6" customHeight="1" x14ac:dyDescent="0.3">
      <c r="A29" s="43" t="s">
        <v>466</v>
      </c>
      <c r="B29" s="43" t="s">
        <v>473</v>
      </c>
      <c r="C29" s="43" t="s">
        <v>474</v>
      </c>
      <c r="D29" s="43" t="s">
        <v>475</v>
      </c>
      <c r="E29" s="44" t="s">
        <v>476</v>
      </c>
    </row>
    <row r="30" spans="1:5" ht="12.6" customHeight="1" x14ac:dyDescent="0.3">
      <c r="A30" s="43" t="s">
        <v>466</v>
      </c>
      <c r="B30" s="43" t="s">
        <v>477</v>
      </c>
      <c r="C30" s="43" t="s">
        <v>478</v>
      </c>
      <c r="D30" s="43" t="s">
        <v>479</v>
      </c>
      <c r="E30" s="44" t="s">
        <v>480</v>
      </c>
    </row>
    <row r="31" spans="1:5" ht="12.6" customHeight="1" x14ac:dyDescent="0.3">
      <c r="A31" s="43" t="s">
        <v>466</v>
      </c>
      <c r="B31" s="43" t="s">
        <v>481</v>
      </c>
      <c r="C31" s="43" t="s">
        <v>482</v>
      </c>
      <c r="D31" s="43" t="s">
        <v>483</v>
      </c>
      <c r="E31" s="44" t="s">
        <v>480</v>
      </c>
    </row>
    <row r="32" spans="1:5" ht="12.6" customHeight="1" x14ac:dyDescent="0.3">
      <c r="A32" s="43" t="s">
        <v>466</v>
      </c>
      <c r="B32" s="43" t="s">
        <v>484</v>
      </c>
      <c r="C32" s="43" t="s">
        <v>485</v>
      </c>
      <c r="D32" s="43" t="s">
        <v>479</v>
      </c>
      <c r="E32" s="44" t="s">
        <v>486</v>
      </c>
    </row>
    <row r="33" spans="1:5" ht="12.6" customHeight="1" x14ac:dyDescent="0.3">
      <c r="A33" s="43" t="s">
        <v>466</v>
      </c>
      <c r="B33" s="43" t="s">
        <v>487</v>
      </c>
      <c r="C33" s="43" t="s">
        <v>488</v>
      </c>
      <c r="D33" s="43" t="s">
        <v>489</v>
      </c>
      <c r="E33" s="44" t="s">
        <v>486</v>
      </c>
    </row>
    <row r="34" spans="1:5" ht="12.6" customHeight="1" x14ac:dyDescent="0.3">
      <c r="A34" s="43" t="s">
        <v>466</v>
      </c>
      <c r="B34" s="43" t="s">
        <v>490</v>
      </c>
      <c r="C34" s="43" t="s">
        <v>491</v>
      </c>
      <c r="D34" s="43" t="s">
        <v>492</v>
      </c>
      <c r="E34" s="44" t="s">
        <v>493</v>
      </c>
    </row>
    <row r="35" spans="1:5" ht="12.6" customHeight="1" x14ac:dyDescent="0.3">
      <c r="A35" s="43" t="s">
        <v>494</v>
      </c>
      <c r="B35" s="43" t="s">
        <v>495</v>
      </c>
      <c r="C35" s="43" t="s">
        <v>496</v>
      </c>
      <c r="D35" s="43" t="s">
        <v>497</v>
      </c>
      <c r="E35" s="44" t="s">
        <v>498</v>
      </c>
    </row>
    <row r="36" spans="1:5" ht="12.6" customHeight="1" x14ac:dyDescent="0.3">
      <c r="A36" s="43" t="s">
        <v>494</v>
      </c>
      <c r="B36" s="43" t="s">
        <v>499</v>
      </c>
      <c r="C36" s="43" t="s">
        <v>500</v>
      </c>
      <c r="D36" s="43" t="s">
        <v>497</v>
      </c>
      <c r="E36" s="44" t="s">
        <v>501</v>
      </c>
    </row>
    <row r="37" spans="1:5" ht="12.6" customHeight="1" x14ac:dyDescent="0.3">
      <c r="A37" s="43" t="s">
        <v>494</v>
      </c>
      <c r="B37" s="43" t="s">
        <v>502</v>
      </c>
      <c r="C37" s="43" t="s">
        <v>503</v>
      </c>
      <c r="D37" s="43" t="s">
        <v>497</v>
      </c>
      <c r="E37" s="44" t="s">
        <v>504</v>
      </c>
    </row>
    <row r="38" spans="1:5" ht="12.6" customHeight="1" x14ac:dyDescent="0.3">
      <c r="A38" s="43" t="s">
        <v>494</v>
      </c>
      <c r="B38" s="43" t="s">
        <v>505</v>
      </c>
      <c r="C38" s="43" t="s">
        <v>506</v>
      </c>
      <c r="D38" s="43" t="s">
        <v>263</v>
      </c>
      <c r="E38" s="44" t="s">
        <v>501</v>
      </c>
    </row>
    <row r="39" spans="1:5" ht="12.6" customHeight="1" x14ac:dyDescent="0.3">
      <c r="A39" s="43" t="s">
        <v>494</v>
      </c>
      <c r="B39" s="43" t="s">
        <v>507</v>
      </c>
      <c r="C39" s="43" t="s">
        <v>508</v>
      </c>
      <c r="D39" s="43" t="s">
        <v>509</v>
      </c>
      <c r="E39" s="44" t="s">
        <v>510</v>
      </c>
    </row>
    <row r="40" spans="1:5" ht="12.6" customHeight="1" x14ac:dyDescent="0.3">
      <c r="A40" s="43" t="s">
        <v>494</v>
      </c>
      <c r="B40" s="43" t="s">
        <v>511</v>
      </c>
      <c r="C40" s="43" t="s">
        <v>512</v>
      </c>
      <c r="D40" s="43" t="s">
        <v>513</v>
      </c>
      <c r="E40" s="44" t="s">
        <v>514</v>
      </c>
    </row>
    <row r="41" spans="1:5" ht="12.6" customHeight="1" x14ac:dyDescent="0.3">
      <c r="A41" s="43" t="s">
        <v>494</v>
      </c>
      <c r="B41" s="43" t="s">
        <v>515</v>
      </c>
      <c r="C41" s="43" t="s">
        <v>516</v>
      </c>
      <c r="D41" s="43" t="s">
        <v>517</v>
      </c>
      <c r="E41" s="44" t="s">
        <v>518</v>
      </c>
    </row>
    <row r="42" spans="1:5" ht="12.6" customHeight="1" x14ac:dyDescent="0.3"/>
    <row r="43" spans="1:5" ht="12.6" customHeight="1" x14ac:dyDescent="0.3">
      <c r="A43" s="3" t="s">
        <v>519</v>
      </c>
    </row>
    <row r="44" spans="1:5" ht="12.6" customHeight="1" x14ac:dyDescent="0.3">
      <c r="A44" t="s">
        <v>520</v>
      </c>
      <c r="E44" t="s">
        <v>521</v>
      </c>
    </row>
    <row r="45" spans="1:5" ht="12.6" customHeight="1" x14ac:dyDescent="0.3">
      <c r="A45" t="s">
        <v>522</v>
      </c>
      <c r="E45" t="s">
        <v>239</v>
      </c>
    </row>
    <row r="46" spans="1:5" ht="12.6" customHeight="1" x14ac:dyDescent="0.3"/>
    <row r="47" spans="1:5" ht="12.6" customHeight="1" x14ac:dyDescent="0.3"/>
    <row r="48" spans="1:5" ht="12.6" customHeight="1" x14ac:dyDescent="0.3"/>
    <row r="49" ht="12.6" customHeight="1" x14ac:dyDescent="0.3"/>
    <row r="50" ht="12.6" customHeight="1" x14ac:dyDescent="0.3"/>
    <row r="51" ht="12.6" customHeight="1" x14ac:dyDescent="0.3"/>
    <row r="52" ht="12.6" customHeight="1" x14ac:dyDescent="0.3"/>
    <row r="53" ht="12.6" customHeight="1" x14ac:dyDescent="0.3"/>
    <row r="54" ht="12.6" customHeight="1" x14ac:dyDescent="0.3"/>
    <row r="55" ht="12.6" customHeight="1" x14ac:dyDescent="0.3"/>
    <row r="56" ht="12.6" customHeight="1" x14ac:dyDescent="0.3"/>
    <row r="57" ht="12.6" customHeight="1" x14ac:dyDescent="0.3"/>
    <row r="58" ht="12.6" customHeight="1" x14ac:dyDescent="0.3"/>
    <row r="59" ht="12.6" customHeight="1" x14ac:dyDescent="0.3"/>
    <row r="60" ht="12.6" customHeight="1" x14ac:dyDescent="0.3"/>
    <row r="61" ht="12.6" customHeight="1" x14ac:dyDescent="0.3"/>
    <row r="62" ht="12.6" customHeight="1" x14ac:dyDescent="0.3"/>
    <row r="63" ht="12.6" customHeight="1" x14ac:dyDescent="0.3"/>
    <row r="64" ht="12.6" customHeight="1" x14ac:dyDescent="0.3"/>
    <row r="65" ht="12.6" customHeight="1" x14ac:dyDescent="0.3"/>
    <row r="66" ht="12.6" customHeight="1" x14ac:dyDescent="0.3"/>
    <row r="67" ht="12.6" customHeight="1" x14ac:dyDescent="0.3"/>
    <row r="68" ht="12.6" customHeight="1" x14ac:dyDescent="0.3"/>
    <row r="69" ht="12.6" customHeight="1" x14ac:dyDescent="0.3"/>
    <row r="70" ht="12.6" customHeight="1" x14ac:dyDescent="0.3"/>
    <row r="71" ht="12.6" customHeight="1" x14ac:dyDescent="0.3"/>
    <row r="72" ht="12.6" customHeight="1" x14ac:dyDescent="0.3"/>
    <row r="73" ht="12.6" customHeight="1" x14ac:dyDescent="0.3"/>
    <row r="74" ht="12.6" customHeight="1" x14ac:dyDescent="0.3"/>
    <row r="75" ht="12.6" customHeight="1" x14ac:dyDescent="0.3"/>
    <row r="76" ht="12.6" customHeight="1" x14ac:dyDescent="0.3"/>
    <row r="77" ht="12.6" customHeight="1" x14ac:dyDescent="0.3"/>
    <row r="78" ht="12.6" customHeight="1" x14ac:dyDescent="0.3"/>
    <row r="79" ht="12.6" customHeight="1" x14ac:dyDescent="0.3"/>
    <row r="80" ht="12.6" customHeight="1" x14ac:dyDescent="0.3"/>
    <row r="81" ht="12.6" customHeight="1" x14ac:dyDescent="0.3"/>
    <row r="82" ht="12.6" customHeight="1" x14ac:dyDescent="0.3"/>
    <row r="83" ht="12.6" customHeight="1" x14ac:dyDescent="0.3"/>
    <row r="84" ht="12.6" customHeight="1" x14ac:dyDescent="0.3"/>
    <row r="85" ht="12.6" customHeight="1" x14ac:dyDescent="0.3"/>
    <row r="86" ht="12.6" customHeight="1" x14ac:dyDescent="0.3"/>
    <row r="87" ht="12.6" customHeight="1" x14ac:dyDescent="0.3"/>
    <row r="88" ht="12.6" customHeight="1" x14ac:dyDescent="0.3"/>
    <row r="89" ht="12.6" customHeight="1" x14ac:dyDescent="0.3"/>
    <row r="90" ht="12.6" customHeight="1" x14ac:dyDescent="0.3"/>
    <row r="91" ht="12.6" customHeight="1" x14ac:dyDescent="0.3"/>
    <row r="92" ht="12.6" customHeight="1" x14ac:dyDescent="0.3"/>
    <row r="93" ht="12.6" customHeight="1" x14ac:dyDescent="0.3"/>
    <row r="94" ht="12.6" customHeight="1" x14ac:dyDescent="0.3"/>
    <row r="95" ht="12.6" customHeight="1" x14ac:dyDescent="0.3"/>
    <row r="96" ht="12.6" customHeight="1" x14ac:dyDescent="0.3"/>
    <row r="97" ht="12.6" customHeight="1" x14ac:dyDescent="0.3"/>
    <row r="98" ht="12.6" customHeight="1" x14ac:dyDescent="0.3"/>
    <row r="99" ht="12.6" customHeight="1" x14ac:dyDescent="0.3"/>
    <row r="100" ht="12.6" customHeight="1" x14ac:dyDescent="0.3"/>
    <row r="101" ht="12.6" customHeight="1" x14ac:dyDescent="0.3"/>
    <row r="102" ht="12.6" customHeight="1" x14ac:dyDescent="0.3"/>
    <row r="103" ht="12.6" customHeight="1" x14ac:dyDescent="0.3"/>
    <row r="104" ht="12.6" customHeight="1" x14ac:dyDescent="0.3"/>
    <row r="105" ht="12.6" customHeight="1" x14ac:dyDescent="0.3"/>
    <row r="106" ht="12.6" customHeight="1" x14ac:dyDescent="0.3"/>
    <row r="107" ht="12.6" customHeight="1" x14ac:dyDescent="0.3"/>
    <row r="108" ht="12.6" customHeight="1" x14ac:dyDescent="0.3"/>
    <row r="109" ht="12.6" customHeight="1" x14ac:dyDescent="0.3"/>
    <row r="110" ht="12.6" customHeight="1" x14ac:dyDescent="0.3"/>
    <row r="111" ht="12.6" customHeight="1" x14ac:dyDescent="0.3"/>
    <row r="112" ht="12.6" customHeight="1" x14ac:dyDescent="0.3"/>
    <row r="113" ht="12.6" customHeight="1" x14ac:dyDescent="0.3"/>
    <row r="114" ht="12.6" customHeight="1" x14ac:dyDescent="0.3"/>
    <row r="115" ht="12.6" customHeight="1" x14ac:dyDescent="0.3"/>
    <row r="116" ht="12.6" customHeight="1" x14ac:dyDescent="0.3"/>
    <row r="117" ht="12.6" customHeight="1" x14ac:dyDescent="0.3"/>
    <row r="118" ht="12.6" customHeight="1" x14ac:dyDescent="0.3"/>
    <row r="119" ht="12.6" customHeight="1" x14ac:dyDescent="0.3"/>
    <row r="120" ht="12.6" customHeight="1" x14ac:dyDescent="0.3"/>
    <row r="121" ht="12.6" customHeight="1" x14ac:dyDescent="0.3"/>
    <row r="122" ht="12.6" customHeight="1" x14ac:dyDescent="0.3"/>
    <row r="123" ht="12.6" customHeight="1" x14ac:dyDescent="0.3"/>
    <row r="124" ht="12.6" customHeight="1" x14ac:dyDescent="0.3"/>
    <row r="125" ht="12.6" customHeight="1" x14ac:dyDescent="0.3"/>
    <row r="126" ht="12.6" customHeight="1" x14ac:dyDescent="0.3"/>
    <row r="127" ht="12.6" customHeight="1" x14ac:dyDescent="0.3"/>
    <row r="128" ht="12.6" customHeight="1" x14ac:dyDescent="0.3"/>
    <row r="129" ht="12.6" customHeight="1" x14ac:dyDescent="0.3"/>
    <row r="130" ht="12.6" customHeight="1" x14ac:dyDescent="0.3"/>
    <row r="131" ht="12.6" customHeight="1" x14ac:dyDescent="0.3"/>
    <row r="132" ht="12.6" customHeight="1" x14ac:dyDescent="0.3"/>
    <row r="133" ht="12.6" customHeight="1" x14ac:dyDescent="0.3"/>
    <row r="134" ht="12.6" customHeight="1" x14ac:dyDescent="0.3"/>
    <row r="135" ht="12.6" customHeight="1" x14ac:dyDescent="0.3"/>
    <row r="136" ht="12.6" customHeight="1" x14ac:dyDescent="0.3"/>
    <row r="137" ht="12.6" customHeight="1" x14ac:dyDescent="0.3"/>
    <row r="138" ht="12.6" customHeight="1" x14ac:dyDescent="0.3"/>
    <row r="139" ht="12.6" customHeight="1" x14ac:dyDescent="0.3"/>
    <row r="140" ht="12.6" customHeight="1" x14ac:dyDescent="0.3"/>
    <row r="141" ht="12.6" customHeight="1" x14ac:dyDescent="0.3"/>
    <row r="142" ht="12.6" customHeight="1" x14ac:dyDescent="0.3"/>
    <row r="143" ht="12.6" customHeight="1" x14ac:dyDescent="0.3"/>
    <row r="144" ht="12.6" customHeight="1" x14ac:dyDescent="0.3"/>
    <row r="145" ht="12.6" customHeight="1" x14ac:dyDescent="0.3"/>
    <row r="146" ht="12.6" customHeight="1" x14ac:dyDescent="0.3"/>
    <row r="147" ht="12.6" customHeight="1" x14ac:dyDescent="0.3"/>
    <row r="148" ht="12.6" customHeight="1" x14ac:dyDescent="0.3"/>
    <row r="149" ht="12.6" customHeight="1" x14ac:dyDescent="0.3"/>
    <row r="150" ht="12.6" customHeight="1" x14ac:dyDescent="0.3"/>
    <row r="151" ht="12.6" customHeight="1" x14ac:dyDescent="0.3"/>
    <row r="152" ht="12.6" customHeight="1" x14ac:dyDescent="0.3"/>
    <row r="153" ht="12.6" customHeight="1" x14ac:dyDescent="0.3"/>
    <row r="154" ht="12.6" customHeight="1" x14ac:dyDescent="0.3"/>
    <row r="155" ht="12.6" customHeight="1" x14ac:dyDescent="0.3"/>
    <row r="156" ht="12.6" customHeight="1" x14ac:dyDescent="0.3"/>
    <row r="157" ht="12.6" customHeight="1" x14ac:dyDescent="0.3"/>
    <row r="158" ht="12.6" customHeight="1" x14ac:dyDescent="0.3"/>
    <row r="159" ht="12.6" customHeight="1" x14ac:dyDescent="0.3"/>
    <row r="160" ht="12.6" customHeight="1" x14ac:dyDescent="0.3"/>
    <row r="161" ht="12.6" customHeight="1" x14ac:dyDescent="0.3"/>
    <row r="162" ht="12.6" customHeight="1" x14ac:dyDescent="0.3"/>
    <row r="163" ht="12.6" customHeight="1" x14ac:dyDescent="0.3"/>
    <row r="164" ht="12.6" customHeight="1" x14ac:dyDescent="0.3"/>
    <row r="165" ht="12.6" customHeight="1" x14ac:dyDescent="0.3"/>
    <row r="166" ht="12.6" customHeight="1" x14ac:dyDescent="0.3"/>
    <row r="167" ht="12.6" customHeight="1" x14ac:dyDescent="0.3"/>
    <row r="168" ht="12.6" customHeight="1" x14ac:dyDescent="0.3"/>
    <row r="169" ht="12.6" customHeight="1" x14ac:dyDescent="0.3"/>
    <row r="170" ht="12.6" customHeight="1" x14ac:dyDescent="0.3"/>
    <row r="171" ht="12.6" customHeight="1" x14ac:dyDescent="0.3"/>
    <row r="172" ht="12.6" customHeight="1" x14ac:dyDescent="0.3"/>
    <row r="173" ht="12.6" customHeight="1" x14ac:dyDescent="0.3"/>
    <row r="174" ht="12.6" customHeight="1" x14ac:dyDescent="0.3"/>
    <row r="175" ht="12.6" customHeight="1" x14ac:dyDescent="0.3"/>
    <row r="176" ht="12.6" customHeight="1" x14ac:dyDescent="0.3"/>
    <row r="177" ht="12.6" customHeight="1" x14ac:dyDescent="0.3"/>
    <row r="178" ht="12.6" customHeight="1" x14ac:dyDescent="0.3"/>
    <row r="179" ht="12.6" customHeight="1" x14ac:dyDescent="0.3"/>
    <row r="180" ht="12.6" customHeight="1" x14ac:dyDescent="0.3"/>
    <row r="181" ht="12.6" customHeight="1" x14ac:dyDescent="0.3"/>
    <row r="182" ht="12.6" customHeight="1" x14ac:dyDescent="0.3"/>
    <row r="183" ht="12.6" customHeight="1" x14ac:dyDescent="0.3"/>
    <row r="184" ht="12.6" customHeight="1" x14ac:dyDescent="0.3"/>
    <row r="185" ht="12.6" customHeight="1" x14ac:dyDescent="0.3"/>
    <row r="186" ht="12.6" customHeight="1" x14ac:dyDescent="0.3"/>
    <row r="187" ht="12.6" customHeight="1" x14ac:dyDescent="0.3"/>
    <row r="188" ht="12.6" customHeight="1" x14ac:dyDescent="0.3"/>
    <row r="189" ht="12.6" customHeight="1" x14ac:dyDescent="0.3"/>
    <row r="190" ht="12.6" customHeight="1" x14ac:dyDescent="0.3"/>
    <row r="191" ht="12.6" customHeight="1" x14ac:dyDescent="0.3"/>
    <row r="192" ht="12.6" customHeight="1" x14ac:dyDescent="0.3"/>
    <row r="193" ht="12.6" customHeight="1" x14ac:dyDescent="0.3"/>
    <row r="194" ht="12.6" customHeight="1" x14ac:dyDescent="0.3"/>
    <row r="195" ht="12.6" customHeight="1" x14ac:dyDescent="0.3"/>
    <row r="196" ht="12.6" customHeight="1" x14ac:dyDescent="0.3"/>
    <row r="197" ht="12.6" customHeight="1" x14ac:dyDescent="0.3"/>
    <row r="198" ht="12.6" customHeight="1" x14ac:dyDescent="0.3"/>
    <row r="199" ht="12.6" customHeight="1" x14ac:dyDescent="0.3"/>
    <row r="200" ht="12.6" customHeight="1" x14ac:dyDescent="0.3"/>
    <row r="201" ht="12.6" customHeight="1" x14ac:dyDescent="0.3"/>
    <row r="202" ht="12.6" customHeight="1" x14ac:dyDescent="0.3"/>
    <row r="203" ht="12.6" customHeight="1" x14ac:dyDescent="0.3"/>
    <row r="204" ht="12.6" customHeight="1" x14ac:dyDescent="0.3"/>
    <row r="205" ht="12.6" customHeight="1" x14ac:dyDescent="0.3"/>
    <row r="206" ht="12.6" customHeight="1" x14ac:dyDescent="0.3"/>
    <row r="207" ht="12.6" customHeight="1" x14ac:dyDescent="0.3"/>
    <row r="208" ht="12.6" customHeight="1" x14ac:dyDescent="0.3"/>
    <row r="209" ht="12.6" customHeight="1" x14ac:dyDescent="0.3"/>
    <row r="210" ht="12.6" customHeight="1" x14ac:dyDescent="0.3"/>
    <row r="211" ht="12.6" customHeight="1" x14ac:dyDescent="0.3"/>
    <row r="212" ht="12.6" customHeight="1" x14ac:dyDescent="0.3"/>
    <row r="213" ht="12.6" customHeight="1" x14ac:dyDescent="0.3"/>
    <row r="214" ht="12.6" customHeight="1" x14ac:dyDescent="0.3"/>
    <row r="215" ht="12.6" customHeight="1" x14ac:dyDescent="0.3"/>
    <row r="216" ht="12.6" customHeight="1" x14ac:dyDescent="0.3"/>
    <row r="217" ht="12.6" customHeight="1" x14ac:dyDescent="0.3"/>
    <row r="218" ht="12.6" customHeight="1" x14ac:dyDescent="0.3"/>
    <row r="219" ht="12.6" customHeight="1" x14ac:dyDescent="0.3"/>
    <row r="220" ht="12.6" customHeight="1" x14ac:dyDescent="0.3"/>
    <row r="221" ht="12.6" customHeight="1" x14ac:dyDescent="0.3"/>
    <row r="222" ht="12.6" customHeight="1" x14ac:dyDescent="0.3"/>
    <row r="223" ht="12.6" customHeight="1" x14ac:dyDescent="0.3"/>
    <row r="224" ht="12.6" customHeight="1" x14ac:dyDescent="0.3"/>
    <row r="225" ht="12.6" customHeight="1" x14ac:dyDescent="0.3"/>
    <row r="226" ht="12.6" customHeight="1" x14ac:dyDescent="0.3"/>
    <row r="227" ht="12.6" customHeight="1" x14ac:dyDescent="0.3"/>
    <row r="228" ht="12.6" customHeight="1" x14ac:dyDescent="0.3"/>
    <row r="229" ht="12.6" customHeight="1" x14ac:dyDescent="0.3"/>
    <row r="230" ht="12.6" customHeight="1" x14ac:dyDescent="0.3"/>
    <row r="231" ht="12.6" customHeight="1" x14ac:dyDescent="0.3"/>
    <row r="232" ht="12.6" customHeight="1" x14ac:dyDescent="0.3"/>
    <row r="233" ht="12.6" customHeight="1" x14ac:dyDescent="0.3"/>
    <row r="234" ht="12.6" customHeight="1" x14ac:dyDescent="0.3"/>
    <row r="235" ht="12.6" customHeight="1" x14ac:dyDescent="0.3"/>
    <row r="236" ht="12.6" customHeight="1" x14ac:dyDescent="0.3"/>
    <row r="237" ht="12.6" customHeight="1" x14ac:dyDescent="0.3"/>
    <row r="238" ht="12.6" customHeight="1" x14ac:dyDescent="0.3"/>
    <row r="239" ht="12.6" customHeight="1" x14ac:dyDescent="0.3"/>
    <row r="240" ht="12.6" customHeight="1" x14ac:dyDescent="0.3"/>
    <row r="241" ht="12.6" customHeight="1" x14ac:dyDescent="0.3"/>
    <row r="242" ht="12.6" customHeight="1" x14ac:dyDescent="0.3"/>
    <row r="243" ht="12.6" customHeight="1" x14ac:dyDescent="0.3"/>
    <row r="244" ht="12.6" customHeight="1" x14ac:dyDescent="0.3"/>
    <row r="245" ht="12.6" customHeight="1" x14ac:dyDescent="0.3"/>
    <row r="246" ht="12.6" customHeight="1" x14ac:dyDescent="0.3"/>
    <row r="247" ht="12.6" customHeight="1" x14ac:dyDescent="0.3"/>
    <row r="248" ht="12.6" customHeight="1" x14ac:dyDescent="0.3"/>
    <row r="249" ht="12.6" customHeight="1" x14ac:dyDescent="0.3"/>
    <row r="250" ht="12.6" customHeight="1" x14ac:dyDescent="0.3"/>
    <row r="251" ht="12.6" customHeight="1" x14ac:dyDescent="0.3"/>
    <row r="252" ht="12.6" customHeight="1" x14ac:dyDescent="0.3"/>
    <row r="253" ht="12.6" customHeight="1" x14ac:dyDescent="0.3"/>
    <row r="254" ht="12.6" customHeight="1" x14ac:dyDescent="0.3"/>
    <row r="255" ht="12.6" customHeight="1" x14ac:dyDescent="0.3"/>
    <row r="256" ht="12.6" customHeight="1" x14ac:dyDescent="0.3"/>
    <row r="257" ht="12.6" customHeight="1" x14ac:dyDescent="0.3"/>
    <row r="258" ht="12.6" customHeight="1" x14ac:dyDescent="0.3"/>
    <row r="259" ht="12.6" customHeight="1" x14ac:dyDescent="0.3"/>
    <row r="260" ht="12.6" customHeight="1" x14ac:dyDescent="0.3"/>
    <row r="261" ht="12.6" customHeight="1" x14ac:dyDescent="0.3"/>
    <row r="262" ht="12.6" customHeight="1" x14ac:dyDescent="0.3"/>
    <row r="263" ht="12.6" customHeight="1" x14ac:dyDescent="0.3"/>
    <row r="264" ht="12.6" customHeight="1" x14ac:dyDescent="0.3"/>
    <row r="265" ht="12.6" customHeight="1" x14ac:dyDescent="0.3"/>
    <row r="266" ht="12.6" customHeight="1" x14ac:dyDescent="0.3"/>
    <row r="267" ht="12.6" customHeight="1" x14ac:dyDescent="0.3"/>
    <row r="268" ht="12.6" customHeight="1" x14ac:dyDescent="0.3"/>
    <row r="269" ht="12.6" customHeight="1" x14ac:dyDescent="0.3"/>
    <row r="270" ht="12.6" customHeight="1" x14ac:dyDescent="0.3"/>
    <row r="271" ht="12.6" customHeight="1" x14ac:dyDescent="0.3"/>
    <row r="272" ht="12.6" customHeight="1" x14ac:dyDescent="0.3"/>
    <row r="273" ht="12.6" customHeight="1" x14ac:dyDescent="0.3"/>
    <row r="274" ht="12.6" customHeight="1" x14ac:dyDescent="0.3"/>
    <row r="275" ht="12.6" customHeight="1" x14ac:dyDescent="0.3"/>
    <row r="276" ht="12.6" customHeight="1" x14ac:dyDescent="0.3"/>
    <row r="277" ht="12.6" customHeight="1" x14ac:dyDescent="0.3"/>
    <row r="278" ht="12.6" customHeight="1" x14ac:dyDescent="0.3"/>
    <row r="279" ht="12.6" customHeight="1" x14ac:dyDescent="0.3"/>
    <row r="280" ht="12.6" customHeight="1" x14ac:dyDescent="0.3"/>
    <row r="281" ht="12.6" customHeight="1" x14ac:dyDescent="0.3"/>
    <row r="282" ht="12.6" customHeight="1" x14ac:dyDescent="0.3"/>
    <row r="283" ht="12.6" customHeight="1" x14ac:dyDescent="0.3"/>
    <row r="284" ht="12.6" customHeight="1" x14ac:dyDescent="0.3"/>
    <row r="285" ht="12.6" customHeight="1" x14ac:dyDescent="0.3"/>
    <row r="286" ht="12.6" customHeight="1" x14ac:dyDescent="0.3"/>
    <row r="287" ht="12.6" customHeight="1" x14ac:dyDescent="0.3"/>
    <row r="288" ht="12.6" customHeight="1" x14ac:dyDescent="0.3"/>
    <row r="289" ht="12.6" customHeight="1" x14ac:dyDescent="0.3"/>
    <row r="290" ht="12.6" customHeight="1" x14ac:dyDescent="0.3"/>
    <row r="291" ht="12.6" customHeight="1" x14ac:dyDescent="0.3"/>
    <row r="292" ht="12.6" customHeight="1" x14ac:dyDescent="0.3"/>
    <row r="293" ht="12.6" customHeight="1" x14ac:dyDescent="0.3"/>
    <row r="294" ht="12.6" customHeight="1" x14ac:dyDescent="0.3"/>
    <row r="295" ht="12.6" customHeight="1" x14ac:dyDescent="0.3"/>
    <row r="296" ht="12.6" customHeight="1" x14ac:dyDescent="0.3"/>
    <row r="297" ht="12.6" customHeight="1" x14ac:dyDescent="0.3"/>
    <row r="298" ht="12.6" customHeight="1" x14ac:dyDescent="0.3"/>
    <row r="299" ht="12.6" customHeight="1" x14ac:dyDescent="0.3"/>
    <row r="300" ht="12.6" customHeight="1" x14ac:dyDescent="0.3"/>
    <row r="301" ht="12.6" customHeight="1" x14ac:dyDescent="0.3"/>
    <row r="302" ht="12.6" customHeight="1" x14ac:dyDescent="0.3"/>
    <row r="303" ht="12.6" customHeight="1" x14ac:dyDescent="0.3"/>
    <row r="304" ht="12.6" customHeight="1" x14ac:dyDescent="0.3"/>
    <row r="305" ht="12.6" customHeight="1" x14ac:dyDescent="0.3"/>
    <row r="306" ht="12.6" customHeight="1" x14ac:dyDescent="0.3"/>
    <row r="307" ht="12.6" customHeight="1" x14ac:dyDescent="0.3"/>
    <row r="308" ht="12.6" customHeight="1" x14ac:dyDescent="0.3"/>
    <row r="309" ht="12.6" customHeight="1" x14ac:dyDescent="0.3"/>
    <row r="310" ht="12.6" customHeight="1" x14ac:dyDescent="0.3"/>
    <row r="311" ht="12.6" customHeight="1" x14ac:dyDescent="0.3"/>
    <row r="312" ht="12.6" customHeight="1" x14ac:dyDescent="0.3"/>
    <row r="313" ht="12.6" customHeight="1" x14ac:dyDescent="0.3"/>
    <row r="314" ht="12.6" customHeight="1" x14ac:dyDescent="0.3"/>
    <row r="315" ht="12.6" customHeight="1" x14ac:dyDescent="0.3"/>
    <row r="316" ht="12.6" customHeight="1" x14ac:dyDescent="0.3"/>
    <row r="317" ht="12.6" customHeight="1" x14ac:dyDescent="0.3"/>
    <row r="318" ht="12.6" customHeight="1" x14ac:dyDescent="0.3"/>
    <row r="319" ht="12.6" customHeight="1" x14ac:dyDescent="0.3"/>
    <row r="320" ht="12.6" customHeight="1" x14ac:dyDescent="0.3"/>
    <row r="321" ht="12.6" customHeight="1" x14ac:dyDescent="0.3"/>
    <row r="322" ht="12.6" customHeight="1" x14ac:dyDescent="0.3"/>
    <row r="323" ht="12.6" customHeight="1" x14ac:dyDescent="0.3"/>
    <row r="324" ht="12.6" customHeight="1" x14ac:dyDescent="0.3"/>
    <row r="325" ht="12.6" customHeight="1" x14ac:dyDescent="0.3"/>
    <row r="326" ht="12.6" customHeight="1" x14ac:dyDescent="0.3"/>
    <row r="327" ht="12.6" customHeight="1" x14ac:dyDescent="0.3"/>
    <row r="328" ht="12.6" customHeight="1" x14ac:dyDescent="0.3"/>
    <row r="329" ht="12.6" customHeight="1" x14ac:dyDescent="0.3"/>
    <row r="330" ht="12.6" customHeight="1" x14ac:dyDescent="0.3"/>
    <row r="331" ht="12.6" customHeight="1" x14ac:dyDescent="0.3"/>
    <row r="332" ht="12.6" customHeight="1" x14ac:dyDescent="0.3"/>
    <row r="333" ht="12.6" customHeight="1" x14ac:dyDescent="0.3"/>
    <row r="334" ht="12.6" customHeight="1" x14ac:dyDescent="0.3"/>
    <row r="335" ht="12.6" customHeight="1" x14ac:dyDescent="0.3"/>
    <row r="336" ht="12.6" customHeight="1" x14ac:dyDescent="0.3"/>
    <row r="337" ht="12.6" customHeight="1" x14ac:dyDescent="0.3"/>
    <row r="338" ht="12.6" customHeight="1" x14ac:dyDescent="0.3"/>
    <row r="339" ht="12.6" customHeight="1" x14ac:dyDescent="0.3"/>
    <row r="340" ht="12.6" customHeight="1" x14ac:dyDescent="0.3"/>
    <row r="341" ht="12.6" customHeight="1" x14ac:dyDescent="0.3"/>
    <row r="342" ht="12.6" customHeight="1" x14ac:dyDescent="0.3"/>
    <row r="343" ht="12.6" customHeight="1" x14ac:dyDescent="0.3"/>
    <row r="344" ht="12.6" customHeight="1" x14ac:dyDescent="0.3"/>
    <row r="345" ht="12.6" customHeight="1" x14ac:dyDescent="0.3"/>
    <row r="346" ht="12.6" customHeight="1" x14ac:dyDescent="0.3"/>
    <row r="347" ht="12.6" customHeight="1" x14ac:dyDescent="0.3"/>
    <row r="348" ht="12.6" customHeight="1" x14ac:dyDescent="0.3"/>
    <row r="349" ht="12.6" customHeight="1" x14ac:dyDescent="0.3"/>
    <row r="350" ht="12.6" customHeight="1" x14ac:dyDescent="0.3"/>
    <row r="351" ht="12.6" customHeight="1" x14ac:dyDescent="0.3"/>
    <row r="352" ht="12.6" customHeight="1" x14ac:dyDescent="0.3"/>
    <row r="353" ht="12.6" customHeight="1" x14ac:dyDescent="0.3"/>
    <row r="354" ht="12.6" customHeight="1" x14ac:dyDescent="0.3"/>
    <row r="355" ht="12.6" customHeight="1" x14ac:dyDescent="0.3"/>
    <row r="356" ht="12.6" customHeight="1" x14ac:dyDescent="0.3"/>
    <row r="357" ht="12.6" customHeight="1" x14ac:dyDescent="0.3"/>
    <row r="358" ht="12.6" customHeight="1" x14ac:dyDescent="0.3"/>
    <row r="359" ht="12.6" customHeight="1" x14ac:dyDescent="0.3"/>
    <row r="360" ht="12.6" customHeight="1" x14ac:dyDescent="0.3"/>
    <row r="361" ht="12.6" customHeight="1" x14ac:dyDescent="0.3"/>
    <row r="362" ht="12.6" customHeight="1" x14ac:dyDescent="0.3"/>
    <row r="363" ht="12.6" customHeight="1" x14ac:dyDescent="0.3"/>
    <row r="364" ht="12.6" customHeight="1" x14ac:dyDescent="0.3"/>
    <row r="365" ht="12.6" customHeight="1" x14ac:dyDescent="0.3"/>
    <row r="366" ht="12.6" customHeight="1" x14ac:dyDescent="0.3"/>
    <row r="367" ht="12.6" customHeight="1" x14ac:dyDescent="0.3"/>
    <row r="368" ht="12.6" customHeight="1" x14ac:dyDescent="0.3"/>
    <row r="369" ht="12.6" customHeight="1" x14ac:dyDescent="0.3"/>
    <row r="370" ht="12.6" customHeight="1" x14ac:dyDescent="0.3"/>
    <row r="371" ht="12.6" customHeight="1" x14ac:dyDescent="0.3"/>
    <row r="372" ht="12.6" customHeight="1" x14ac:dyDescent="0.3"/>
    <row r="373" ht="12.6" customHeight="1" x14ac:dyDescent="0.3"/>
    <row r="374" ht="12.6" customHeight="1" x14ac:dyDescent="0.3"/>
    <row r="375" ht="12.6" customHeight="1" x14ac:dyDescent="0.3"/>
    <row r="376" ht="12.6" customHeight="1" x14ac:dyDescent="0.3"/>
    <row r="377" ht="12.6" customHeight="1" x14ac:dyDescent="0.3"/>
    <row r="378" ht="12.6" customHeight="1" x14ac:dyDescent="0.3"/>
    <row r="379" ht="12.6" customHeight="1" x14ac:dyDescent="0.3"/>
    <row r="380" ht="12.6" customHeight="1" x14ac:dyDescent="0.3"/>
    <row r="381" ht="12.6" customHeight="1" x14ac:dyDescent="0.3"/>
    <row r="382" ht="12.6" customHeight="1" x14ac:dyDescent="0.3"/>
    <row r="383" ht="12.6" customHeight="1" x14ac:dyDescent="0.3"/>
    <row r="384" ht="12.6" customHeight="1" x14ac:dyDescent="0.3"/>
    <row r="385" ht="12.6" customHeight="1" x14ac:dyDescent="0.3"/>
    <row r="386" ht="12.6" customHeight="1" x14ac:dyDescent="0.3"/>
    <row r="387" ht="12.6" customHeight="1" x14ac:dyDescent="0.3"/>
    <row r="388" ht="12.6" customHeight="1" x14ac:dyDescent="0.3"/>
    <row r="389" ht="12.6" customHeight="1" x14ac:dyDescent="0.3"/>
    <row r="390" ht="12.6" customHeight="1" x14ac:dyDescent="0.3"/>
    <row r="391" ht="12.6" customHeight="1" x14ac:dyDescent="0.3"/>
    <row r="392" ht="12.6" customHeight="1" x14ac:dyDescent="0.3"/>
    <row r="393" ht="12.6" customHeight="1" x14ac:dyDescent="0.3"/>
    <row r="394" ht="12.6" customHeight="1" x14ac:dyDescent="0.3"/>
    <row r="395" ht="12.6" customHeight="1" x14ac:dyDescent="0.3"/>
    <row r="396" ht="12.6" customHeight="1" x14ac:dyDescent="0.3"/>
    <row r="397" ht="12.6" customHeight="1" x14ac:dyDescent="0.3"/>
    <row r="398" ht="12.6" customHeight="1" x14ac:dyDescent="0.3"/>
    <row r="399" ht="12.6" customHeight="1" x14ac:dyDescent="0.3"/>
    <row r="400" ht="12.6" customHeight="1" x14ac:dyDescent="0.3"/>
    <row r="401" ht="12.6" customHeight="1" x14ac:dyDescent="0.3"/>
    <row r="402" ht="12.6" customHeight="1" x14ac:dyDescent="0.3"/>
    <row r="403" ht="12.6" customHeight="1" x14ac:dyDescent="0.3"/>
    <row r="404" ht="12.6" customHeight="1" x14ac:dyDescent="0.3"/>
    <row r="405" ht="12.6" customHeight="1" x14ac:dyDescent="0.3"/>
    <row r="406" ht="12.6" customHeight="1" x14ac:dyDescent="0.3"/>
    <row r="407" ht="12.6" customHeight="1" x14ac:dyDescent="0.3"/>
    <row r="408" ht="12.6" customHeight="1" x14ac:dyDescent="0.3"/>
    <row r="409" ht="12.6" customHeight="1" x14ac:dyDescent="0.3"/>
    <row r="410" ht="12.6" customHeight="1" x14ac:dyDescent="0.3"/>
    <row r="411" ht="12.6" customHeight="1" x14ac:dyDescent="0.3"/>
    <row r="412" ht="12.6" customHeight="1" x14ac:dyDescent="0.3"/>
    <row r="413" ht="12.6" customHeight="1" x14ac:dyDescent="0.3"/>
    <row r="414" ht="12.6" customHeight="1" x14ac:dyDescent="0.3"/>
    <row r="415" ht="12.6" customHeight="1" x14ac:dyDescent="0.3"/>
    <row r="416" ht="12.6" customHeight="1" x14ac:dyDescent="0.3"/>
    <row r="417" ht="12.6" customHeight="1" x14ac:dyDescent="0.3"/>
    <row r="418" ht="12.6" customHeight="1" x14ac:dyDescent="0.3"/>
    <row r="419" ht="12.6" customHeight="1" x14ac:dyDescent="0.3"/>
    <row r="420" ht="12.6" customHeight="1" x14ac:dyDescent="0.3"/>
    <row r="421" ht="12.6" customHeight="1" x14ac:dyDescent="0.3"/>
    <row r="422" ht="12.6" customHeight="1" x14ac:dyDescent="0.3"/>
    <row r="423" ht="12.6" customHeight="1" x14ac:dyDescent="0.3"/>
    <row r="424" ht="12.6" customHeight="1" x14ac:dyDescent="0.3"/>
    <row r="425" ht="12.6" customHeight="1" x14ac:dyDescent="0.3"/>
    <row r="426" ht="12.6" customHeight="1" x14ac:dyDescent="0.3"/>
    <row r="427" ht="12.6" customHeight="1" x14ac:dyDescent="0.3"/>
    <row r="428" ht="12.6" customHeight="1" x14ac:dyDescent="0.3"/>
    <row r="429" ht="12.6" customHeight="1" x14ac:dyDescent="0.3"/>
    <row r="430" ht="12.6" customHeight="1" x14ac:dyDescent="0.3"/>
    <row r="431" ht="12.6" customHeight="1" x14ac:dyDescent="0.3"/>
    <row r="432" ht="12.6" customHeight="1" x14ac:dyDescent="0.3"/>
    <row r="433" ht="12.6" customHeight="1" x14ac:dyDescent="0.3"/>
    <row r="434" ht="12.6" customHeight="1" x14ac:dyDescent="0.3"/>
    <row r="435" ht="12.6" customHeight="1" x14ac:dyDescent="0.3"/>
    <row r="436" ht="12.6" customHeight="1" x14ac:dyDescent="0.3"/>
    <row r="437" ht="12.6" customHeight="1" x14ac:dyDescent="0.3"/>
    <row r="438" ht="12.6" customHeight="1" x14ac:dyDescent="0.3"/>
    <row r="439" ht="12.6" customHeight="1" x14ac:dyDescent="0.3"/>
    <row r="440" ht="12.6" customHeight="1" x14ac:dyDescent="0.3"/>
    <row r="441" ht="12.6" customHeight="1" x14ac:dyDescent="0.3"/>
    <row r="442" ht="12.6" customHeight="1" x14ac:dyDescent="0.3"/>
    <row r="443" ht="12.6" customHeight="1" x14ac:dyDescent="0.3"/>
    <row r="444" ht="12.6" customHeight="1" x14ac:dyDescent="0.3"/>
    <row r="445" ht="12.6" customHeight="1" x14ac:dyDescent="0.3"/>
    <row r="446" ht="12.6" customHeight="1" x14ac:dyDescent="0.3"/>
    <row r="447" ht="12.6" customHeight="1" x14ac:dyDescent="0.3"/>
    <row r="448" ht="12.6" customHeight="1" x14ac:dyDescent="0.3"/>
    <row r="449" ht="12.6" customHeight="1" x14ac:dyDescent="0.3"/>
    <row r="450" ht="12.6" customHeight="1" x14ac:dyDescent="0.3"/>
    <row r="451" ht="12.6" customHeight="1" x14ac:dyDescent="0.3"/>
    <row r="452" ht="12.6" customHeight="1" x14ac:dyDescent="0.3"/>
    <row r="453" ht="12.6" customHeight="1" x14ac:dyDescent="0.3"/>
    <row r="454" ht="12.6" customHeight="1" x14ac:dyDescent="0.3"/>
    <row r="455" ht="12.6" customHeight="1" x14ac:dyDescent="0.3"/>
    <row r="456" ht="12.6" customHeight="1" x14ac:dyDescent="0.3"/>
    <row r="457" ht="12.6" customHeight="1" x14ac:dyDescent="0.3"/>
    <row r="458" ht="12.6" customHeight="1" x14ac:dyDescent="0.3"/>
    <row r="459" ht="12.6" customHeight="1" x14ac:dyDescent="0.3"/>
    <row r="460" ht="12.6" customHeight="1" x14ac:dyDescent="0.3"/>
    <row r="461" ht="12.6" customHeight="1" x14ac:dyDescent="0.3"/>
    <row r="462" ht="12.6" customHeight="1" x14ac:dyDescent="0.3"/>
    <row r="463" ht="12.6" customHeight="1" x14ac:dyDescent="0.3"/>
    <row r="464" ht="12.6" customHeight="1" x14ac:dyDescent="0.3"/>
    <row r="465" ht="12.6" customHeight="1" x14ac:dyDescent="0.3"/>
    <row r="466" ht="12.6" customHeight="1" x14ac:dyDescent="0.3"/>
    <row r="467" ht="12.6" customHeight="1" x14ac:dyDescent="0.3"/>
    <row r="468" ht="12.6" customHeight="1" x14ac:dyDescent="0.3"/>
    <row r="469" ht="12.6" customHeight="1" x14ac:dyDescent="0.3"/>
    <row r="470" ht="12.6" customHeight="1" x14ac:dyDescent="0.3"/>
    <row r="471" ht="12.6" customHeight="1" x14ac:dyDescent="0.3"/>
    <row r="472" ht="12.6" customHeight="1" x14ac:dyDescent="0.3"/>
    <row r="473" ht="12.6" customHeight="1" x14ac:dyDescent="0.3"/>
    <row r="474" ht="12.6" customHeight="1" x14ac:dyDescent="0.3"/>
    <row r="475" ht="12.6" customHeight="1" x14ac:dyDescent="0.3"/>
    <row r="476" ht="12.6" customHeight="1" x14ac:dyDescent="0.3"/>
    <row r="477" ht="12.6" customHeight="1" x14ac:dyDescent="0.3"/>
    <row r="478" ht="12.6" customHeight="1" x14ac:dyDescent="0.3"/>
    <row r="479" ht="12.6" customHeight="1" x14ac:dyDescent="0.3"/>
    <row r="480" ht="12.6" customHeight="1" x14ac:dyDescent="0.3"/>
    <row r="481" ht="12.6" customHeight="1" x14ac:dyDescent="0.3"/>
    <row r="482" ht="12.6" customHeight="1" x14ac:dyDescent="0.3"/>
    <row r="483" ht="12.6" customHeight="1" x14ac:dyDescent="0.3"/>
    <row r="484" ht="12.6" customHeight="1" x14ac:dyDescent="0.3"/>
    <row r="485" ht="12.6" customHeight="1" x14ac:dyDescent="0.3"/>
    <row r="486" ht="12.6" customHeight="1" x14ac:dyDescent="0.3"/>
    <row r="487" ht="12.6" customHeight="1" x14ac:dyDescent="0.3"/>
    <row r="488" ht="12.6" customHeight="1" x14ac:dyDescent="0.3"/>
    <row r="489" ht="12.6" customHeight="1" x14ac:dyDescent="0.3"/>
    <row r="490" ht="12.6" customHeight="1" x14ac:dyDescent="0.3"/>
    <row r="491" ht="12.6" customHeight="1" x14ac:dyDescent="0.3"/>
    <row r="492" ht="12.6" customHeight="1" x14ac:dyDescent="0.3"/>
    <row r="493" ht="12.6" customHeight="1" x14ac:dyDescent="0.3"/>
    <row r="494" ht="12.6" customHeight="1" x14ac:dyDescent="0.3"/>
    <row r="495" ht="12.6" customHeight="1" x14ac:dyDescent="0.3"/>
    <row r="496" ht="12.6" customHeight="1" x14ac:dyDescent="0.3"/>
    <row r="497" ht="12.6" customHeight="1" x14ac:dyDescent="0.3"/>
    <row r="498" ht="12.6" customHeight="1" x14ac:dyDescent="0.3"/>
    <row r="499" ht="12.6" customHeight="1" x14ac:dyDescent="0.3"/>
    <row r="500" ht="12.6" customHeight="1" x14ac:dyDescent="0.3"/>
    <row r="501" ht="12.6" customHeight="1" x14ac:dyDescent="0.3"/>
    <row r="502" ht="12.6" customHeight="1" x14ac:dyDescent="0.3"/>
    <row r="503" ht="12.6" customHeight="1" x14ac:dyDescent="0.3"/>
    <row r="504" ht="12.6" customHeight="1" x14ac:dyDescent="0.3"/>
    <row r="505" ht="12.6" customHeight="1" x14ac:dyDescent="0.3"/>
    <row r="506" ht="12.6" customHeight="1" x14ac:dyDescent="0.3"/>
    <row r="507" ht="12.6" customHeight="1" x14ac:dyDescent="0.3"/>
    <row r="508" ht="12.6" customHeight="1" x14ac:dyDescent="0.3"/>
    <row r="509" ht="12.6" customHeight="1" x14ac:dyDescent="0.3"/>
    <row r="510" ht="12.6" customHeight="1" x14ac:dyDescent="0.3"/>
    <row r="511" ht="12.6" customHeight="1" x14ac:dyDescent="0.3"/>
    <row r="512" ht="12.6" customHeight="1" x14ac:dyDescent="0.3"/>
    <row r="513" ht="12.6" customHeight="1" x14ac:dyDescent="0.3"/>
    <row r="514" ht="12.6" customHeight="1" x14ac:dyDescent="0.3"/>
    <row r="515" ht="12.6" customHeight="1" x14ac:dyDescent="0.3"/>
    <row r="516" ht="12.6" customHeight="1" x14ac:dyDescent="0.3"/>
    <row r="517" ht="12.6" customHeight="1" x14ac:dyDescent="0.3"/>
    <row r="518" ht="12.6" customHeight="1" x14ac:dyDescent="0.3"/>
    <row r="519" ht="12.6" customHeight="1" x14ac:dyDescent="0.3"/>
    <row r="520" ht="12.6" customHeight="1" x14ac:dyDescent="0.3"/>
    <row r="521" ht="12.6" customHeight="1" x14ac:dyDescent="0.3"/>
    <row r="522" ht="12.6" customHeight="1" x14ac:dyDescent="0.3"/>
    <row r="523" ht="12.6" customHeight="1" x14ac:dyDescent="0.3"/>
    <row r="524" ht="12.6" customHeight="1" x14ac:dyDescent="0.3"/>
    <row r="525" ht="12.6" customHeight="1" x14ac:dyDescent="0.3"/>
    <row r="526" ht="12.6" customHeight="1" x14ac:dyDescent="0.3"/>
    <row r="527" ht="12.6" customHeight="1" x14ac:dyDescent="0.3"/>
    <row r="528" ht="12.6" customHeight="1" x14ac:dyDescent="0.3"/>
    <row r="529" ht="12.6" customHeight="1" x14ac:dyDescent="0.3"/>
    <row r="530" ht="12.6" customHeight="1" x14ac:dyDescent="0.3"/>
    <row r="531" ht="12.6" customHeight="1" x14ac:dyDescent="0.3"/>
    <row r="532" ht="12.6" customHeight="1" x14ac:dyDescent="0.3"/>
    <row r="533" ht="12.6" customHeight="1" x14ac:dyDescent="0.3"/>
    <row r="534" ht="12.6" customHeight="1" x14ac:dyDescent="0.3"/>
    <row r="535" ht="12.6" customHeight="1" x14ac:dyDescent="0.3"/>
    <row r="536" ht="12.6" customHeight="1" x14ac:dyDescent="0.3"/>
    <row r="537" ht="12.6" customHeight="1" x14ac:dyDescent="0.3"/>
    <row r="538" ht="12.6" customHeight="1" x14ac:dyDescent="0.3"/>
    <row r="539" ht="12.6" customHeight="1" x14ac:dyDescent="0.3"/>
    <row r="540" ht="12.6" customHeight="1" x14ac:dyDescent="0.3"/>
    <row r="541" ht="12.6" customHeight="1" x14ac:dyDescent="0.3"/>
    <row r="542" ht="12.6" customHeight="1" x14ac:dyDescent="0.3"/>
    <row r="543" ht="12.6" customHeight="1" x14ac:dyDescent="0.3"/>
    <row r="544" ht="12.6" customHeight="1" x14ac:dyDescent="0.3"/>
    <row r="545" ht="12.6" customHeight="1" x14ac:dyDescent="0.3"/>
    <row r="546" ht="12.6" customHeight="1" x14ac:dyDescent="0.3"/>
    <row r="547" ht="12.6" customHeight="1" x14ac:dyDescent="0.3"/>
    <row r="548" ht="12.6" customHeight="1" x14ac:dyDescent="0.3"/>
    <row r="549" ht="12.6" customHeight="1" x14ac:dyDescent="0.3"/>
    <row r="550" ht="12.6" customHeight="1" x14ac:dyDescent="0.3"/>
    <row r="551" ht="12.6" customHeight="1" x14ac:dyDescent="0.3"/>
    <row r="552" ht="12.6" customHeight="1" x14ac:dyDescent="0.3"/>
    <row r="553" ht="12.6" customHeight="1" x14ac:dyDescent="0.3"/>
    <row r="554" ht="12.6" customHeight="1" x14ac:dyDescent="0.3"/>
    <row r="555" ht="12.6" customHeight="1" x14ac:dyDescent="0.3"/>
    <row r="556" ht="12.6" customHeight="1" x14ac:dyDescent="0.3"/>
    <row r="557" ht="12.6" customHeight="1" x14ac:dyDescent="0.3"/>
    <row r="558" ht="12.6" customHeight="1" x14ac:dyDescent="0.3"/>
    <row r="559" ht="12.6" customHeight="1" x14ac:dyDescent="0.3"/>
    <row r="560" ht="12.6" customHeight="1" x14ac:dyDescent="0.3"/>
    <row r="561" ht="12.6" customHeight="1" x14ac:dyDescent="0.3"/>
    <row r="562" ht="12.6" customHeight="1" x14ac:dyDescent="0.3"/>
    <row r="563" ht="12.6" customHeight="1" x14ac:dyDescent="0.3"/>
    <row r="564" ht="12.6" customHeight="1" x14ac:dyDescent="0.3"/>
    <row r="565" ht="12.6" customHeight="1" x14ac:dyDescent="0.3"/>
    <row r="566" ht="12.6" customHeight="1" x14ac:dyDescent="0.3"/>
    <row r="567" ht="12.6" customHeight="1" x14ac:dyDescent="0.3"/>
    <row r="568" ht="12.6" customHeight="1" x14ac:dyDescent="0.3"/>
    <row r="569" ht="12.6" customHeight="1" x14ac:dyDescent="0.3"/>
    <row r="570" ht="12.6" customHeight="1" x14ac:dyDescent="0.3"/>
    <row r="571" ht="12.6" customHeight="1" x14ac:dyDescent="0.3"/>
    <row r="572" ht="12.6" customHeight="1" x14ac:dyDescent="0.3"/>
    <row r="573" ht="12.6" customHeight="1" x14ac:dyDescent="0.3"/>
    <row r="574" ht="12.6" customHeight="1" x14ac:dyDescent="0.3"/>
    <row r="575" ht="12.6" customHeight="1" x14ac:dyDescent="0.3"/>
    <row r="576" ht="12.6" customHeight="1" x14ac:dyDescent="0.3"/>
    <row r="577" ht="12.6" customHeight="1" x14ac:dyDescent="0.3"/>
    <row r="578" ht="12.6" customHeight="1" x14ac:dyDescent="0.3"/>
    <row r="579" ht="12.6" customHeight="1" x14ac:dyDescent="0.3"/>
    <row r="580" ht="12.6" customHeight="1" x14ac:dyDescent="0.3"/>
    <row r="581" ht="12.6" customHeight="1" x14ac:dyDescent="0.3"/>
    <row r="582" ht="12.6" customHeight="1" x14ac:dyDescent="0.3"/>
    <row r="583" ht="12.6" customHeight="1" x14ac:dyDescent="0.3"/>
    <row r="584" ht="12.6" customHeight="1" x14ac:dyDescent="0.3"/>
    <row r="585" ht="12.6" customHeight="1" x14ac:dyDescent="0.3"/>
    <row r="586" ht="12.6" customHeight="1" x14ac:dyDescent="0.3"/>
    <row r="587" ht="12.6" customHeight="1" x14ac:dyDescent="0.3"/>
    <row r="588" ht="12.6" customHeight="1" x14ac:dyDescent="0.3"/>
    <row r="589" ht="12.6" customHeight="1" x14ac:dyDescent="0.3"/>
    <row r="590" ht="12.6" customHeight="1" x14ac:dyDescent="0.3"/>
    <row r="591" ht="12.6" customHeight="1" x14ac:dyDescent="0.3"/>
    <row r="592" ht="12.6" customHeight="1" x14ac:dyDescent="0.3"/>
    <row r="593" ht="12.6" customHeight="1" x14ac:dyDescent="0.3"/>
    <row r="594" ht="12.6" customHeight="1" x14ac:dyDescent="0.3"/>
    <row r="595" ht="12.6" customHeight="1" x14ac:dyDescent="0.3"/>
    <row r="596" ht="12.6" customHeight="1" x14ac:dyDescent="0.3"/>
    <row r="597" ht="12.6" customHeight="1" x14ac:dyDescent="0.3"/>
    <row r="598" ht="12.6" customHeight="1" x14ac:dyDescent="0.3"/>
    <row r="599" ht="12.6" customHeight="1" x14ac:dyDescent="0.3"/>
    <row r="600" ht="12.6" customHeight="1" x14ac:dyDescent="0.3"/>
    <row r="601" ht="12.6" customHeight="1" x14ac:dyDescent="0.3"/>
    <row r="602" ht="12.6" customHeight="1" x14ac:dyDescent="0.3"/>
    <row r="603" ht="12.6" customHeight="1" x14ac:dyDescent="0.3"/>
    <row r="604" ht="12.6" customHeight="1" x14ac:dyDescent="0.3"/>
    <row r="605" ht="12.6" customHeight="1" x14ac:dyDescent="0.3"/>
    <row r="606" ht="12.6" customHeight="1" x14ac:dyDescent="0.3"/>
    <row r="607" ht="12.6" customHeight="1" x14ac:dyDescent="0.3"/>
    <row r="608" ht="12.6" customHeight="1" x14ac:dyDescent="0.3"/>
    <row r="609" ht="12.6" customHeight="1" x14ac:dyDescent="0.3"/>
    <row r="610" ht="12.6" customHeight="1" x14ac:dyDescent="0.3"/>
    <row r="611" ht="12.6" customHeight="1" x14ac:dyDescent="0.3"/>
    <row r="612" ht="12.6" customHeight="1" x14ac:dyDescent="0.3"/>
    <row r="613" ht="12.6" customHeight="1" x14ac:dyDescent="0.3"/>
    <row r="614" ht="12.6" customHeight="1" x14ac:dyDescent="0.3"/>
    <row r="615" ht="12.6" customHeight="1" x14ac:dyDescent="0.3"/>
    <row r="616" ht="12.6" customHeight="1" x14ac:dyDescent="0.3"/>
    <row r="617" ht="12.6" customHeight="1" x14ac:dyDescent="0.3"/>
    <row r="618" ht="12.6" customHeight="1" x14ac:dyDescent="0.3"/>
    <row r="619" ht="12.6" customHeight="1" x14ac:dyDescent="0.3"/>
    <row r="620" ht="12.6" customHeight="1" x14ac:dyDescent="0.3"/>
    <row r="621" ht="12.6" customHeight="1" x14ac:dyDescent="0.3"/>
    <row r="622" ht="12.6" customHeight="1" x14ac:dyDescent="0.3"/>
    <row r="623" ht="12.6" customHeight="1" x14ac:dyDescent="0.3"/>
    <row r="624" ht="12.6" customHeight="1" x14ac:dyDescent="0.3"/>
    <row r="625" ht="12.6" customHeight="1" x14ac:dyDescent="0.3"/>
    <row r="626" ht="12.6" customHeight="1" x14ac:dyDescent="0.3"/>
    <row r="627" ht="12.6" customHeight="1" x14ac:dyDescent="0.3"/>
    <row r="628" ht="12.6" customHeight="1" x14ac:dyDescent="0.3"/>
    <row r="629" ht="12.6" customHeight="1" x14ac:dyDescent="0.3"/>
    <row r="630" ht="12.6" customHeight="1" x14ac:dyDescent="0.3"/>
    <row r="631" ht="12.6" customHeight="1" x14ac:dyDescent="0.3"/>
    <row r="632" ht="12.6" customHeight="1" x14ac:dyDescent="0.3"/>
    <row r="633" ht="12.6" customHeight="1" x14ac:dyDescent="0.3"/>
    <row r="634" ht="12.6" customHeight="1" x14ac:dyDescent="0.3"/>
    <row r="635" ht="12.6" customHeight="1" x14ac:dyDescent="0.3"/>
    <row r="636" ht="12.6" customHeight="1" x14ac:dyDescent="0.3"/>
    <row r="637" ht="12.6" customHeight="1" x14ac:dyDescent="0.3"/>
    <row r="638" ht="12.6" customHeight="1" x14ac:dyDescent="0.3"/>
    <row r="639" ht="12.6" customHeight="1" x14ac:dyDescent="0.3"/>
    <row r="640" ht="12.6" customHeight="1" x14ac:dyDescent="0.3"/>
    <row r="641" ht="12.6" customHeight="1" x14ac:dyDescent="0.3"/>
    <row r="642" ht="12.6" customHeight="1" x14ac:dyDescent="0.3"/>
    <row r="643" ht="12.6" customHeight="1" x14ac:dyDescent="0.3"/>
    <row r="644" ht="12.6" customHeight="1" x14ac:dyDescent="0.3"/>
    <row r="645" ht="12.6" customHeight="1" x14ac:dyDescent="0.3"/>
    <row r="646" ht="12.6" customHeight="1" x14ac:dyDescent="0.3"/>
    <row r="647" ht="12.6" customHeight="1" x14ac:dyDescent="0.3"/>
    <row r="648" ht="12.6" customHeight="1" x14ac:dyDescent="0.3"/>
    <row r="649" ht="12.6" customHeight="1" x14ac:dyDescent="0.3"/>
    <row r="650" ht="12.6" customHeight="1" x14ac:dyDescent="0.3"/>
    <row r="651" ht="12.6" customHeight="1" x14ac:dyDescent="0.3"/>
    <row r="652" ht="12.6" customHeight="1" x14ac:dyDescent="0.3"/>
    <row r="653" ht="12.6" customHeight="1" x14ac:dyDescent="0.3"/>
    <row r="654" ht="12.6" customHeight="1" x14ac:dyDescent="0.3"/>
    <row r="655" ht="12.6" customHeight="1" x14ac:dyDescent="0.3"/>
    <row r="656" ht="12.6" customHeight="1" x14ac:dyDescent="0.3"/>
    <row r="657" ht="12.6" customHeight="1" x14ac:dyDescent="0.3"/>
    <row r="658" ht="12.6" customHeight="1" x14ac:dyDescent="0.3"/>
    <row r="659" ht="12.6" customHeight="1" x14ac:dyDescent="0.3"/>
    <row r="660" ht="12.6" customHeight="1" x14ac:dyDescent="0.3"/>
    <row r="661" ht="12.6" customHeight="1" x14ac:dyDescent="0.3"/>
    <row r="662" ht="12.6" customHeight="1" x14ac:dyDescent="0.3"/>
    <row r="663" ht="12.6" customHeight="1" x14ac:dyDescent="0.3"/>
    <row r="664" ht="12.6" customHeight="1" x14ac:dyDescent="0.3"/>
    <row r="665" ht="12.6" customHeight="1" x14ac:dyDescent="0.3"/>
    <row r="666" ht="12.6" customHeight="1" x14ac:dyDescent="0.3"/>
    <row r="667" ht="12.6" customHeight="1" x14ac:dyDescent="0.3"/>
    <row r="668" ht="12.6" customHeight="1" x14ac:dyDescent="0.3"/>
    <row r="669" ht="12.6" customHeight="1" x14ac:dyDescent="0.3"/>
    <row r="670" ht="12.6" customHeight="1" x14ac:dyDescent="0.3"/>
    <row r="671" ht="12.6" customHeight="1" x14ac:dyDescent="0.3"/>
    <row r="672" ht="12.6" customHeight="1" x14ac:dyDescent="0.3"/>
    <row r="673" ht="12.6" customHeight="1" x14ac:dyDescent="0.3"/>
    <row r="674" ht="12.6" customHeight="1" x14ac:dyDescent="0.3"/>
    <row r="675" ht="12.6" customHeight="1" x14ac:dyDescent="0.3"/>
    <row r="676" ht="12.6" customHeight="1" x14ac:dyDescent="0.3"/>
    <row r="677" ht="12.6" customHeight="1" x14ac:dyDescent="0.3"/>
    <row r="678" ht="12.6" customHeight="1" x14ac:dyDescent="0.3"/>
    <row r="679" ht="12.6" customHeight="1" x14ac:dyDescent="0.3"/>
    <row r="680" ht="12.6" customHeight="1" x14ac:dyDescent="0.3"/>
    <row r="681" ht="12.6" customHeight="1" x14ac:dyDescent="0.3"/>
    <row r="682" ht="12.6" customHeight="1" x14ac:dyDescent="0.3"/>
    <row r="683" ht="12.6" customHeight="1" x14ac:dyDescent="0.3"/>
    <row r="684" ht="12.6" customHeight="1" x14ac:dyDescent="0.3"/>
    <row r="685" ht="12.6" customHeight="1" x14ac:dyDescent="0.3"/>
    <row r="686" ht="12.6" customHeight="1" x14ac:dyDescent="0.3"/>
    <row r="687" ht="12.6" customHeight="1" x14ac:dyDescent="0.3"/>
    <row r="688" ht="12.6" customHeight="1" x14ac:dyDescent="0.3"/>
    <row r="689" ht="12.6" customHeight="1" x14ac:dyDescent="0.3"/>
    <row r="690" ht="12.6" customHeight="1" x14ac:dyDescent="0.3"/>
    <row r="691" ht="12.6" customHeight="1" x14ac:dyDescent="0.3"/>
    <row r="692" ht="12.6" customHeight="1" x14ac:dyDescent="0.3"/>
    <row r="693" ht="12.6" customHeight="1" x14ac:dyDescent="0.3"/>
    <row r="694" ht="12.6" customHeight="1" x14ac:dyDescent="0.3"/>
    <row r="695" ht="12.6" customHeight="1" x14ac:dyDescent="0.3"/>
    <row r="696" ht="12.6" customHeight="1" x14ac:dyDescent="0.3"/>
    <row r="697" ht="12.6" customHeight="1" x14ac:dyDescent="0.3"/>
    <row r="698" ht="12.6" customHeight="1" x14ac:dyDescent="0.3"/>
    <row r="699" ht="12.6" customHeight="1" x14ac:dyDescent="0.3"/>
    <row r="700" ht="12.6" customHeight="1" x14ac:dyDescent="0.3"/>
    <row r="701" ht="12.6" customHeight="1" x14ac:dyDescent="0.3"/>
    <row r="702" ht="12.6" customHeight="1" x14ac:dyDescent="0.3"/>
    <row r="703" ht="12.6" customHeight="1" x14ac:dyDescent="0.3"/>
    <row r="704" ht="12.6" customHeight="1" x14ac:dyDescent="0.3"/>
    <row r="705" ht="12.6" customHeight="1" x14ac:dyDescent="0.3"/>
    <row r="706" ht="12.6" customHeight="1" x14ac:dyDescent="0.3"/>
    <row r="707" ht="12.6" customHeight="1" x14ac:dyDescent="0.3"/>
    <row r="708" ht="12.6" customHeight="1" x14ac:dyDescent="0.3"/>
    <row r="709" ht="12.6" customHeight="1" x14ac:dyDescent="0.3"/>
    <row r="710" ht="12.6" customHeight="1" x14ac:dyDescent="0.3"/>
    <row r="711" ht="12.6" customHeight="1" x14ac:dyDescent="0.3"/>
    <row r="712" ht="12.6" customHeight="1" x14ac:dyDescent="0.3"/>
    <row r="713" ht="12.6" customHeight="1" x14ac:dyDescent="0.3"/>
    <row r="714" ht="12.6" customHeight="1" x14ac:dyDescent="0.3"/>
    <row r="715" ht="12.6" customHeight="1" x14ac:dyDescent="0.3"/>
    <row r="716" ht="12.6" customHeight="1" x14ac:dyDescent="0.3"/>
    <row r="717" ht="12.6" customHeight="1" x14ac:dyDescent="0.3"/>
    <row r="718" ht="12.6" customHeight="1" x14ac:dyDescent="0.3"/>
    <row r="719" ht="12.6" customHeight="1" x14ac:dyDescent="0.3"/>
    <row r="720" ht="12.6" customHeight="1" x14ac:dyDescent="0.3"/>
    <row r="721" ht="12.6" customHeight="1" x14ac:dyDescent="0.3"/>
    <row r="722" ht="12.6" customHeight="1" x14ac:dyDescent="0.3"/>
    <row r="723" ht="12.6" customHeight="1" x14ac:dyDescent="0.3"/>
    <row r="724" ht="12.6" customHeight="1" x14ac:dyDescent="0.3"/>
    <row r="725" ht="12.6" customHeight="1" x14ac:dyDescent="0.3"/>
    <row r="726" ht="12.6" customHeight="1" x14ac:dyDescent="0.3"/>
    <row r="727" ht="12.6" customHeight="1" x14ac:dyDescent="0.3"/>
    <row r="728" ht="12.6" customHeight="1" x14ac:dyDescent="0.3"/>
    <row r="729" ht="12.6" customHeight="1" x14ac:dyDescent="0.3"/>
    <row r="730" ht="12.6" customHeight="1" x14ac:dyDescent="0.3"/>
    <row r="731" ht="12.6" customHeight="1" x14ac:dyDescent="0.3"/>
    <row r="732" ht="12.6" customHeight="1" x14ac:dyDescent="0.3"/>
    <row r="733" ht="12.6" customHeight="1" x14ac:dyDescent="0.3"/>
    <row r="734" ht="12.6" customHeight="1" x14ac:dyDescent="0.3"/>
    <row r="735" ht="12.6" customHeight="1" x14ac:dyDescent="0.3"/>
    <row r="736" ht="12.6" customHeight="1" x14ac:dyDescent="0.3"/>
    <row r="737" ht="12.6" customHeight="1" x14ac:dyDescent="0.3"/>
    <row r="738" ht="12.6" customHeight="1" x14ac:dyDescent="0.3"/>
    <row r="739" ht="12.6" customHeight="1" x14ac:dyDescent="0.3"/>
    <row r="740" ht="12.6" customHeight="1" x14ac:dyDescent="0.3"/>
    <row r="741" ht="12.6" customHeight="1" x14ac:dyDescent="0.3"/>
    <row r="742" ht="12.6" customHeight="1" x14ac:dyDescent="0.3"/>
    <row r="743" ht="12.6" customHeight="1" x14ac:dyDescent="0.3"/>
    <row r="744" ht="12.6" customHeight="1" x14ac:dyDescent="0.3"/>
    <row r="745" ht="12.6" customHeight="1" x14ac:dyDescent="0.3"/>
    <row r="746" ht="12.6" customHeight="1" x14ac:dyDescent="0.3"/>
    <row r="747" ht="12.6" customHeight="1" x14ac:dyDescent="0.3"/>
    <row r="748" ht="12.6" customHeight="1" x14ac:dyDescent="0.3"/>
    <row r="749" ht="12.6" customHeight="1" x14ac:dyDescent="0.3"/>
    <row r="750" ht="12.6" customHeight="1" x14ac:dyDescent="0.3"/>
    <row r="751" ht="12.6" customHeight="1" x14ac:dyDescent="0.3"/>
    <row r="752" ht="12.6" customHeight="1" x14ac:dyDescent="0.3"/>
    <row r="753" ht="12.6" customHeight="1" x14ac:dyDescent="0.3"/>
    <row r="754" ht="12.6" customHeight="1" x14ac:dyDescent="0.3"/>
    <row r="755" ht="12.6" customHeight="1" x14ac:dyDescent="0.3"/>
    <row r="756" ht="12.6" customHeight="1" x14ac:dyDescent="0.3"/>
    <row r="757" ht="12.6" customHeight="1" x14ac:dyDescent="0.3"/>
    <row r="758" ht="12.6" customHeight="1" x14ac:dyDescent="0.3"/>
    <row r="759" ht="12.6" customHeight="1" x14ac:dyDescent="0.3"/>
    <row r="760" ht="12.6" customHeight="1" x14ac:dyDescent="0.3"/>
    <row r="761" ht="12.6" customHeight="1" x14ac:dyDescent="0.3"/>
    <row r="762" ht="12.6" customHeight="1" x14ac:dyDescent="0.3"/>
    <row r="763" ht="12.6" customHeight="1" x14ac:dyDescent="0.3"/>
    <row r="764" ht="12.6" customHeight="1" x14ac:dyDescent="0.3"/>
    <row r="765" ht="12.6" customHeight="1" x14ac:dyDescent="0.3"/>
    <row r="766" ht="12.6" customHeight="1" x14ac:dyDescent="0.3"/>
    <row r="767" ht="12.6" customHeight="1" x14ac:dyDescent="0.3"/>
    <row r="768" ht="12.6" customHeight="1" x14ac:dyDescent="0.3"/>
    <row r="769" ht="12.6" customHeight="1" x14ac:dyDescent="0.3"/>
    <row r="770" ht="12.6" customHeight="1" x14ac:dyDescent="0.3"/>
    <row r="771" ht="12.6" customHeight="1" x14ac:dyDescent="0.3"/>
    <row r="772" ht="12.6" customHeight="1" x14ac:dyDescent="0.3"/>
    <row r="773" ht="12.6" customHeight="1" x14ac:dyDescent="0.3"/>
    <row r="774" ht="12.6" customHeight="1" x14ac:dyDescent="0.3"/>
    <row r="775" ht="12.6" customHeight="1" x14ac:dyDescent="0.3"/>
    <row r="776" ht="12.6" customHeight="1" x14ac:dyDescent="0.3"/>
    <row r="777" ht="12.6" customHeight="1" x14ac:dyDescent="0.3"/>
    <row r="778" ht="12.6" customHeight="1" x14ac:dyDescent="0.3"/>
    <row r="779" ht="12.6" customHeight="1" x14ac:dyDescent="0.3"/>
    <row r="780" ht="12.6" customHeight="1" x14ac:dyDescent="0.3"/>
    <row r="781" ht="12.6" customHeight="1" x14ac:dyDescent="0.3"/>
    <row r="782" ht="12.6" customHeight="1" x14ac:dyDescent="0.3"/>
    <row r="783" ht="12.6" customHeight="1" x14ac:dyDescent="0.3"/>
    <row r="784" ht="12.6" customHeight="1" x14ac:dyDescent="0.3"/>
    <row r="785" ht="12.6" customHeight="1" x14ac:dyDescent="0.3"/>
    <row r="786" ht="12.6" customHeight="1" x14ac:dyDescent="0.3"/>
    <row r="787" ht="12.6" customHeight="1" x14ac:dyDescent="0.3"/>
    <row r="788" ht="12.6" customHeight="1" x14ac:dyDescent="0.3"/>
    <row r="789" ht="12.6" customHeight="1" x14ac:dyDescent="0.3"/>
    <row r="790" ht="12.6" customHeight="1" x14ac:dyDescent="0.3"/>
    <row r="791" ht="12.6" customHeight="1" x14ac:dyDescent="0.3"/>
    <row r="792" ht="12.6" customHeight="1" x14ac:dyDescent="0.3"/>
    <row r="793" ht="12.6" customHeight="1" x14ac:dyDescent="0.3"/>
    <row r="794" ht="12.6" customHeight="1" x14ac:dyDescent="0.3"/>
    <row r="795" ht="12.6" customHeight="1" x14ac:dyDescent="0.3"/>
    <row r="796" ht="12.6" customHeight="1" x14ac:dyDescent="0.3"/>
    <row r="797" ht="12.6" customHeight="1" x14ac:dyDescent="0.3"/>
    <row r="798" ht="12.6" customHeight="1" x14ac:dyDescent="0.3"/>
    <row r="799" ht="12.6" customHeight="1" x14ac:dyDescent="0.3"/>
    <row r="800" ht="12.6" customHeight="1" x14ac:dyDescent="0.3"/>
    <row r="801" ht="12.6" customHeight="1" x14ac:dyDescent="0.3"/>
    <row r="802" ht="12.6" customHeight="1" x14ac:dyDescent="0.3"/>
    <row r="803" ht="12.6" customHeight="1" x14ac:dyDescent="0.3"/>
    <row r="804" ht="12.6" customHeight="1" x14ac:dyDescent="0.3"/>
    <row r="805" ht="12.6" customHeight="1" x14ac:dyDescent="0.3"/>
    <row r="806" ht="12.6" customHeight="1" x14ac:dyDescent="0.3"/>
    <row r="807" ht="12.6" customHeight="1" x14ac:dyDescent="0.3"/>
    <row r="808" ht="12.6" customHeight="1" x14ac:dyDescent="0.3"/>
    <row r="809" ht="12.6" customHeight="1" x14ac:dyDescent="0.3"/>
    <row r="810" ht="12.6" customHeight="1" x14ac:dyDescent="0.3"/>
    <row r="811" ht="12.6" customHeight="1" x14ac:dyDescent="0.3"/>
    <row r="812" ht="12.6" customHeight="1" x14ac:dyDescent="0.3"/>
    <row r="813" ht="12.6" customHeight="1" x14ac:dyDescent="0.3"/>
    <row r="814" ht="12.6" customHeight="1" x14ac:dyDescent="0.3"/>
    <row r="815" ht="12.6" customHeight="1" x14ac:dyDescent="0.3"/>
    <row r="816" ht="12.6" customHeight="1" x14ac:dyDescent="0.3"/>
    <row r="817" ht="12.6" customHeight="1" x14ac:dyDescent="0.3"/>
    <row r="818" ht="12.6" customHeight="1" x14ac:dyDescent="0.3"/>
    <row r="819" ht="12.6" customHeight="1" x14ac:dyDescent="0.3"/>
    <row r="820" ht="12.6" customHeight="1" x14ac:dyDescent="0.3"/>
    <row r="821" ht="12.6" customHeight="1" x14ac:dyDescent="0.3"/>
    <row r="822" ht="12.6" customHeight="1" x14ac:dyDescent="0.3"/>
    <row r="823" ht="12.6" customHeight="1" x14ac:dyDescent="0.3"/>
    <row r="824" ht="12.6" customHeight="1" x14ac:dyDescent="0.3"/>
    <row r="825" ht="12.6" customHeight="1" x14ac:dyDescent="0.3"/>
    <row r="826" ht="12.6" customHeight="1" x14ac:dyDescent="0.3"/>
    <row r="827" ht="12.6" customHeight="1" x14ac:dyDescent="0.3"/>
    <row r="828" ht="12.6" customHeight="1" x14ac:dyDescent="0.3"/>
    <row r="829" ht="12.6" customHeight="1" x14ac:dyDescent="0.3"/>
    <row r="830" ht="12.6" customHeight="1" x14ac:dyDescent="0.3"/>
    <row r="831" ht="12.6" customHeight="1" x14ac:dyDescent="0.3"/>
    <row r="832" ht="12.6" customHeight="1" x14ac:dyDescent="0.3"/>
    <row r="833" ht="12.6" customHeight="1" x14ac:dyDescent="0.3"/>
    <row r="834" ht="12.6" customHeight="1" x14ac:dyDescent="0.3"/>
    <row r="835" ht="12.6" customHeight="1" x14ac:dyDescent="0.3"/>
    <row r="836" ht="12.6" customHeight="1" x14ac:dyDescent="0.3"/>
    <row r="837" ht="12.6" customHeight="1" x14ac:dyDescent="0.3"/>
    <row r="838" ht="12.6" customHeight="1" x14ac:dyDescent="0.3"/>
    <row r="839" ht="12.6" customHeight="1" x14ac:dyDescent="0.3"/>
    <row r="840" ht="12.6" customHeight="1" x14ac:dyDescent="0.3"/>
    <row r="841" ht="12.6" customHeight="1" x14ac:dyDescent="0.3"/>
    <row r="842" ht="12.6" customHeight="1" x14ac:dyDescent="0.3"/>
    <row r="843" ht="12.6" customHeight="1" x14ac:dyDescent="0.3"/>
    <row r="844" ht="12.6" customHeight="1" x14ac:dyDescent="0.3"/>
    <row r="845" ht="12.6" customHeight="1" x14ac:dyDescent="0.3"/>
    <row r="846" ht="12.6" customHeight="1" x14ac:dyDescent="0.3"/>
    <row r="847" ht="12.6" customHeight="1" x14ac:dyDescent="0.3"/>
    <row r="848" ht="12.6" customHeight="1" x14ac:dyDescent="0.3"/>
    <row r="849" ht="12.6" customHeight="1" x14ac:dyDescent="0.3"/>
    <row r="850" ht="12.6" customHeight="1" x14ac:dyDescent="0.3"/>
    <row r="851" ht="12.6" customHeight="1" x14ac:dyDescent="0.3"/>
    <row r="852" ht="12.6" customHeight="1" x14ac:dyDescent="0.3"/>
    <row r="853" ht="12.6" customHeight="1" x14ac:dyDescent="0.3"/>
    <row r="854" ht="12.6" customHeight="1" x14ac:dyDescent="0.3"/>
    <row r="855" ht="12.6" customHeight="1" x14ac:dyDescent="0.3"/>
    <row r="856" ht="12.6" customHeight="1" x14ac:dyDescent="0.3"/>
    <row r="857" ht="12.6" customHeight="1" x14ac:dyDescent="0.3"/>
    <row r="858" ht="12.6" customHeight="1" x14ac:dyDescent="0.3"/>
    <row r="859" ht="12.6" customHeight="1" x14ac:dyDescent="0.3"/>
    <row r="860" ht="12.6" customHeight="1" x14ac:dyDescent="0.3"/>
    <row r="861" ht="12.6" customHeight="1" x14ac:dyDescent="0.3"/>
    <row r="862" ht="12.6" customHeight="1" x14ac:dyDescent="0.3"/>
    <row r="863" ht="12.6" customHeight="1" x14ac:dyDescent="0.3"/>
    <row r="864" ht="12.6" customHeight="1" x14ac:dyDescent="0.3"/>
    <row r="865" ht="12.6" customHeight="1" x14ac:dyDescent="0.3"/>
    <row r="866" ht="12.6" customHeight="1" x14ac:dyDescent="0.3"/>
    <row r="867" ht="12.6" customHeight="1" x14ac:dyDescent="0.3"/>
    <row r="868" ht="12.6" customHeight="1" x14ac:dyDescent="0.3"/>
    <row r="869" ht="12.6" customHeight="1" x14ac:dyDescent="0.3"/>
    <row r="870" ht="12.6" customHeight="1" x14ac:dyDescent="0.3"/>
    <row r="871" ht="12.6" customHeight="1" x14ac:dyDescent="0.3"/>
    <row r="872" ht="12.6" customHeight="1" x14ac:dyDescent="0.3"/>
    <row r="873" ht="12.6" customHeight="1" x14ac:dyDescent="0.3"/>
    <row r="874" ht="12.6" customHeight="1" x14ac:dyDescent="0.3"/>
    <row r="875" ht="12.6" customHeight="1" x14ac:dyDescent="0.3"/>
    <row r="876" ht="12.6" customHeight="1" x14ac:dyDescent="0.3"/>
    <row r="877" ht="12.6" customHeight="1" x14ac:dyDescent="0.3"/>
    <row r="878" ht="12.6" customHeight="1" x14ac:dyDescent="0.3"/>
    <row r="879" ht="12.6" customHeight="1" x14ac:dyDescent="0.3"/>
    <row r="880" ht="12.6" customHeight="1" x14ac:dyDescent="0.3"/>
    <row r="881" ht="12.6" customHeight="1" x14ac:dyDescent="0.3"/>
    <row r="882" ht="12.6" customHeight="1" x14ac:dyDescent="0.3"/>
    <row r="883" ht="12.6" customHeight="1" x14ac:dyDescent="0.3"/>
    <row r="884" ht="12.6" customHeight="1" x14ac:dyDescent="0.3"/>
    <row r="885" ht="12.6" customHeight="1" x14ac:dyDescent="0.3"/>
    <row r="886" ht="12.6" customHeight="1" x14ac:dyDescent="0.3"/>
    <row r="887" ht="12.6" customHeight="1" x14ac:dyDescent="0.3"/>
    <row r="888" ht="12.6" customHeight="1" x14ac:dyDescent="0.3"/>
    <row r="889" ht="12.6" customHeight="1" x14ac:dyDescent="0.3"/>
    <row r="890" ht="12.6" customHeight="1" x14ac:dyDescent="0.3"/>
    <row r="891" ht="12.6" customHeight="1" x14ac:dyDescent="0.3"/>
    <row r="892" ht="12.6" customHeight="1" x14ac:dyDescent="0.3"/>
    <row r="893" ht="12.6" customHeight="1" x14ac:dyDescent="0.3"/>
    <row r="894" ht="12.6" customHeight="1" x14ac:dyDescent="0.3"/>
    <row r="895" ht="12.6" customHeight="1" x14ac:dyDescent="0.3"/>
    <row r="896" ht="12.6" customHeight="1" x14ac:dyDescent="0.3"/>
    <row r="897" ht="12.6" customHeight="1" x14ac:dyDescent="0.3"/>
    <row r="898" ht="12.6" customHeight="1" x14ac:dyDescent="0.3"/>
    <row r="899" ht="12.6" customHeight="1" x14ac:dyDescent="0.3"/>
    <row r="900" ht="12.6" customHeight="1" x14ac:dyDescent="0.3"/>
    <row r="901" ht="12.6" customHeight="1" x14ac:dyDescent="0.3"/>
    <row r="902" ht="12.6" customHeight="1" x14ac:dyDescent="0.3"/>
    <row r="903" ht="12.6" customHeight="1" x14ac:dyDescent="0.3"/>
    <row r="904" ht="12.6" customHeight="1" x14ac:dyDescent="0.3"/>
    <row r="905" ht="12.6" customHeight="1" x14ac:dyDescent="0.3"/>
    <row r="906" ht="12.6" customHeight="1" x14ac:dyDescent="0.3"/>
    <row r="907" ht="12.6" customHeight="1" x14ac:dyDescent="0.3"/>
    <row r="908" ht="12.6" customHeight="1" x14ac:dyDescent="0.3"/>
    <row r="909" ht="12.6" customHeight="1" x14ac:dyDescent="0.3"/>
    <row r="910" ht="12.6" customHeight="1" x14ac:dyDescent="0.3"/>
    <row r="911" ht="12.6" customHeight="1" x14ac:dyDescent="0.3"/>
    <row r="912" ht="12.6" customHeight="1" x14ac:dyDescent="0.3"/>
    <row r="913" ht="12.6" customHeight="1" x14ac:dyDescent="0.3"/>
    <row r="914" ht="12.6" customHeight="1" x14ac:dyDescent="0.3"/>
    <row r="915" ht="12.6" customHeight="1" x14ac:dyDescent="0.3"/>
    <row r="916" ht="12.6" customHeight="1" x14ac:dyDescent="0.3"/>
    <row r="917" ht="12.6" customHeight="1" x14ac:dyDescent="0.3"/>
    <row r="918" ht="12.6" customHeight="1" x14ac:dyDescent="0.3"/>
    <row r="919" ht="12.6" customHeight="1" x14ac:dyDescent="0.3"/>
    <row r="920" ht="12.6" customHeight="1" x14ac:dyDescent="0.3"/>
    <row r="921" ht="12.6" customHeight="1" x14ac:dyDescent="0.3"/>
    <row r="922" ht="12.6" customHeight="1" x14ac:dyDescent="0.3"/>
    <row r="923" ht="12.6" customHeight="1" x14ac:dyDescent="0.3"/>
    <row r="924" ht="12.6" customHeight="1" x14ac:dyDescent="0.3"/>
    <row r="925" ht="12.6" customHeight="1" x14ac:dyDescent="0.3"/>
    <row r="926" ht="12.6" customHeight="1" x14ac:dyDescent="0.3"/>
    <row r="927" ht="12.6" customHeight="1" x14ac:dyDescent="0.3"/>
    <row r="928" ht="12.6" customHeight="1" x14ac:dyDescent="0.3"/>
    <row r="929" ht="12.6" customHeight="1" x14ac:dyDescent="0.3"/>
    <row r="930" ht="12.6" customHeight="1" x14ac:dyDescent="0.3"/>
    <row r="931" ht="12.6" customHeight="1" x14ac:dyDescent="0.3"/>
    <row r="932" ht="12.6" customHeight="1" x14ac:dyDescent="0.3"/>
    <row r="933" ht="12.6" customHeight="1" x14ac:dyDescent="0.3"/>
    <row r="934" ht="12.6" customHeight="1" x14ac:dyDescent="0.3"/>
    <row r="935" ht="12.6" customHeight="1" x14ac:dyDescent="0.3"/>
    <row r="936" ht="12.6" customHeight="1" x14ac:dyDescent="0.3"/>
    <row r="937" ht="12.6" customHeight="1" x14ac:dyDescent="0.3"/>
    <row r="938" ht="12.6" customHeight="1" x14ac:dyDescent="0.3"/>
    <row r="939" ht="12.6" customHeight="1" x14ac:dyDescent="0.3"/>
    <row r="940" ht="12.6" customHeight="1" x14ac:dyDescent="0.3"/>
    <row r="941" ht="12.6" customHeight="1" x14ac:dyDescent="0.3"/>
    <row r="942" ht="12.6" customHeight="1" x14ac:dyDescent="0.3"/>
    <row r="943" ht="12.6" customHeight="1" x14ac:dyDescent="0.3"/>
    <row r="944" ht="12.6" customHeight="1" x14ac:dyDescent="0.3"/>
    <row r="945" ht="12.6" customHeight="1" x14ac:dyDescent="0.3"/>
    <row r="946" ht="12.6" customHeight="1" x14ac:dyDescent="0.3"/>
    <row r="947" ht="12.6" customHeight="1" x14ac:dyDescent="0.3"/>
    <row r="948" ht="12.6" customHeight="1" x14ac:dyDescent="0.3"/>
    <row r="949" ht="12.6" customHeight="1" x14ac:dyDescent="0.3"/>
    <row r="950" ht="12.6" customHeight="1" x14ac:dyDescent="0.3"/>
    <row r="951" ht="12.6" customHeight="1" x14ac:dyDescent="0.3"/>
    <row r="952" ht="12.6" customHeight="1" x14ac:dyDescent="0.3"/>
    <row r="953" ht="12.6" customHeight="1" x14ac:dyDescent="0.3"/>
    <row r="954" ht="12.6" customHeight="1" x14ac:dyDescent="0.3"/>
    <row r="955" ht="12.6" customHeight="1" x14ac:dyDescent="0.3"/>
    <row r="956" ht="12.6" customHeight="1" x14ac:dyDescent="0.3"/>
    <row r="957" ht="12.6" customHeight="1" x14ac:dyDescent="0.3"/>
    <row r="958" ht="12.6" customHeight="1" x14ac:dyDescent="0.3"/>
    <row r="959" ht="12.6" customHeight="1" x14ac:dyDescent="0.3"/>
    <row r="960" ht="12.6" customHeight="1" x14ac:dyDescent="0.3"/>
    <row r="961" ht="12.6" customHeight="1" x14ac:dyDescent="0.3"/>
    <row r="962" ht="12.6" customHeight="1" x14ac:dyDescent="0.3"/>
    <row r="963" ht="12.6" customHeight="1" x14ac:dyDescent="0.3"/>
    <row r="964" ht="12.6" customHeight="1" x14ac:dyDescent="0.3"/>
    <row r="965" ht="12.6" customHeight="1" x14ac:dyDescent="0.3"/>
    <row r="966" ht="12.6" customHeight="1" x14ac:dyDescent="0.3"/>
    <row r="967" ht="12.6" customHeight="1" x14ac:dyDescent="0.3"/>
    <row r="968" ht="12.6" customHeight="1" x14ac:dyDescent="0.3"/>
    <row r="969" ht="12.6" customHeight="1" x14ac:dyDescent="0.3"/>
    <row r="970" ht="12.6" customHeight="1" x14ac:dyDescent="0.3"/>
    <row r="971" ht="12.6" customHeight="1" x14ac:dyDescent="0.3"/>
    <row r="972" ht="12.6" customHeight="1" x14ac:dyDescent="0.3"/>
    <row r="973" ht="12.6" customHeight="1" x14ac:dyDescent="0.3"/>
    <row r="974" ht="12.6" customHeight="1" x14ac:dyDescent="0.3"/>
    <row r="975" ht="12.6" customHeight="1" x14ac:dyDescent="0.3"/>
    <row r="976" ht="12.6" customHeight="1" x14ac:dyDescent="0.3"/>
    <row r="977" ht="12.6" customHeight="1" x14ac:dyDescent="0.3"/>
    <row r="978" ht="12.6" customHeight="1" x14ac:dyDescent="0.3"/>
    <row r="979" ht="12.6" customHeight="1" x14ac:dyDescent="0.3"/>
    <row r="980" ht="12.6" customHeight="1" x14ac:dyDescent="0.3"/>
    <row r="981" ht="12.6" customHeight="1" x14ac:dyDescent="0.3"/>
    <row r="982" ht="12.6" customHeight="1" x14ac:dyDescent="0.3"/>
    <row r="983" ht="12.6" customHeight="1" x14ac:dyDescent="0.3"/>
    <row r="984" ht="12.6" customHeight="1" x14ac:dyDescent="0.3"/>
    <row r="985" ht="12.6" customHeight="1" x14ac:dyDescent="0.3"/>
    <row r="986" ht="12.6" customHeight="1" x14ac:dyDescent="0.3"/>
    <row r="987" ht="12.6" customHeight="1" x14ac:dyDescent="0.3"/>
    <row r="988" ht="12.6" customHeight="1" x14ac:dyDescent="0.3"/>
    <row r="989" ht="12.6" customHeight="1" x14ac:dyDescent="0.3"/>
    <row r="990" ht="12.6" customHeight="1" x14ac:dyDescent="0.3"/>
    <row r="991" ht="12.6" customHeight="1" x14ac:dyDescent="0.3"/>
    <row r="992" ht="12.6" customHeight="1" x14ac:dyDescent="0.3"/>
    <row r="993" ht="12.6" customHeight="1" x14ac:dyDescent="0.3"/>
    <row r="994" ht="12.6" customHeight="1" x14ac:dyDescent="0.3"/>
    <row r="995" ht="12.6" customHeight="1" x14ac:dyDescent="0.3"/>
    <row r="996" ht="12.6" customHeight="1" x14ac:dyDescent="0.3"/>
    <row r="997" ht="12.6" customHeight="1" x14ac:dyDescent="0.3"/>
    <row r="998" ht="12.6" customHeight="1" x14ac:dyDescent="0.3"/>
    <row r="999" ht="12.6" customHeight="1" x14ac:dyDescent="0.3"/>
    <row r="1000" ht="12.6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0_README</vt:lpstr>
      <vt:lpstr>1_Cost_Job</vt:lpstr>
      <vt:lpstr>2_Pricing</vt:lpstr>
      <vt:lpstr>3_Value_Metric</vt:lpstr>
      <vt:lpstr>4_Channel_Fit</vt:lpstr>
      <vt:lpstr>5_90Day_Plan</vt:lpstr>
      <vt:lpstr>6_Benchmarks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Trân Bùi</cp:lastModifiedBy>
  <dcterms:created xsi:type="dcterms:W3CDTF">2026-10-08T12:53:12Z</dcterms:created>
  <dcterms:modified xsi:type="dcterms:W3CDTF">2026-10-08T12:53:12Z</dcterms:modified>
</cp:coreProperties>
</file>